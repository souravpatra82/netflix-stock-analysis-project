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4ffdd97a96fcd37/Desktop/Netflex Stock Data/Final_nflx_data_2018-2022 Create/"/>
    </mc:Choice>
  </mc:AlternateContent>
  <xr:revisionPtr revIDLastSave="817" documentId="13_ncr:1_{A65D3BD0-9034-462E-B888-BBFAF26D6228}" xr6:coauthVersionLast="47" xr6:coauthVersionMax="47" xr10:uidLastSave="{D47E4F37-F52C-433D-93FE-DF6ABFEA769A}"/>
  <bookViews>
    <workbookView xWindow="-120" yWindow="-120" windowWidth="29040" windowHeight="15720" activeTab="4" xr2:uid="{A7A6BF8B-274D-47FF-8031-0D54C9C5B105}"/>
  </bookViews>
  <sheets>
    <sheet name="Stock_Price" sheetId="2" r:id="rId1"/>
    <sheet name="Monthly_Stock" sheetId="3" r:id="rId2"/>
    <sheet name="Monthly_Trading" sheetId="4" r:id="rId3"/>
    <sheet name="Dashboard" sheetId="5" r:id="rId4"/>
    <sheet name="Kpi" sheetId="6" r:id="rId5"/>
    <sheet name="Final_nflx_data_2018-2022" sheetId="1" r:id="rId6"/>
  </sheets>
  <definedNames>
    <definedName name="Slicer_Month">#N/A</definedName>
    <definedName name="Slicer_Quarters__date">#N/A</definedName>
    <definedName name="Slicer_Years__date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E8" i="6"/>
  <c r="D8" i="6"/>
  <c r="C8" i="6"/>
  <c r="B8" i="6"/>
  <c r="A8" i="6"/>
</calcChain>
</file>

<file path=xl/sharedStrings.xml><?xml version="1.0" encoding="utf-8"?>
<sst xmlns="http://schemas.openxmlformats.org/spreadsheetml/2006/main" count="62" uniqueCount="40">
  <si>
    <t>date</t>
  </si>
  <si>
    <t>Open</t>
  </si>
  <si>
    <t>High</t>
  </si>
  <si>
    <t>Low</t>
  </si>
  <si>
    <t>Close</t>
  </si>
  <si>
    <t>Adj Close</t>
  </si>
  <si>
    <t>Volume</t>
  </si>
  <si>
    <t>P_mean</t>
  </si>
  <si>
    <t>P_sum</t>
  </si>
  <si>
    <t>twt_count</t>
  </si>
  <si>
    <t>Year</t>
  </si>
  <si>
    <t>Month</t>
  </si>
  <si>
    <t>Price Change</t>
  </si>
  <si>
    <t>Daily Return %</t>
  </si>
  <si>
    <t>Row Labels</t>
  </si>
  <si>
    <t>2018</t>
  </si>
  <si>
    <t>2019</t>
  </si>
  <si>
    <t>2020</t>
  </si>
  <si>
    <t>2021</t>
  </si>
  <si>
    <t>2022</t>
  </si>
  <si>
    <t>Average of Close</t>
  </si>
  <si>
    <t>Jan</t>
  </si>
  <si>
    <t>Feb</t>
  </si>
  <si>
    <t>Mar</t>
  </si>
  <si>
    <t>Apr</t>
  </si>
  <si>
    <t>May</t>
  </si>
  <si>
    <t>Jun</t>
  </si>
  <si>
    <t>Jul</t>
  </si>
  <si>
    <t>Aug</t>
  </si>
  <si>
    <t>Sep</t>
  </si>
  <si>
    <t>Oct</t>
  </si>
  <si>
    <t>Nov</t>
  </si>
  <si>
    <t>Dec</t>
  </si>
  <si>
    <t>Sum of Price Change</t>
  </si>
  <si>
    <t>Average of Daily Return %</t>
  </si>
  <si>
    <t>Sum of Volume</t>
  </si>
  <si>
    <t>Max. of High</t>
  </si>
  <si>
    <t>Min. of Low</t>
  </si>
  <si>
    <t>NETFLIX STOCK ANALYSIS DASHBOARD</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</si>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</sst>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0,,,&quot;B&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badi"/>
      <family val="2"/>
    </font>
    <font>
      <sz val="36"/>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CC"/>
        <bgColor indexed="64"/>
      </patternFill>
    </fill>
    <fill>
      <patternFill patternType="solid">
        <fgColor rgb="FFFF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0" fontId="0" fillId="33" borderId="0" xfId="0" applyFill="1"/>
    <xf numFmtId="0" fontId="0" fillId="0" borderId="10" xfId="0" applyBorder="1"/>
    <xf numFmtId="164" fontId="0" fillId="0" borderId="10" xfId="0" applyNumberFormat="1" applyBorder="1"/>
    <xf numFmtId="165" fontId="0" fillId="0" borderId="10" xfId="0" applyNumberFormat="1" applyBorder="1"/>
    <xf numFmtId="10" fontId="0" fillId="0" borderId="10" xfId="0" applyNumberFormat="1" applyBorder="1"/>
    <xf numFmtId="0" fontId="0" fillId="0" borderId="11" xfId="0" applyBorder="1"/>
    <xf numFmtId="0" fontId="0" fillId="33" borderId="10" xfId="0" applyFill="1" applyBorder="1" applyAlignment="1">
      <alignment horizontal="center"/>
    </xf>
    <xf numFmtId="0" fontId="19"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0" formatCode="General"/>
    </dxf>
    <dxf>
      <numFmt numFmtId="19" formatCode="dd/mm/yyyy"/>
    </dxf>
    <dxf>
      <numFmt numFmtId="19" formatCode="dd/mm/yyyy"/>
    </dxf>
    <dxf>
      <numFmt numFmtId="19" formatCode="dd/mm/yyyy"/>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font>
        <b/>
        <i val="0"/>
        <sz val="16"/>
      </font>
      <fill>
        <patternFill>
          <bgColor rgb="FFF4C2C2"/>
        </patternFill>
      </fill>
      <border>
        <left style="thin">
          <color auto="1"/>
        </left>
        <right style="thin">
          <color auto="1"/>
        </right>
        <top style="thin">
          <color auto="1"/>
        </top>
        <bottom style="thin">
          <color auto="1"/>
        </bottom>
      </border>
    </dxf>
    <dxf>
      <font>
        <b/>
        <i val="0"/>
        <sz val="14"/>
      </font>
      <fill>
        <patternFill>
          <bgColor rgb="FFFF6B6B"/>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2" xr9:uid="{8A66EA8A-96BA-4E3D-97F9-AB91172F2211}">
      <tableStyleElement type="wholeTable" dxfId="15"/>
      <tableStyleElement type="headerRow" dxfId="14"/>
    </tableStyle>
  </tableStyles>
  <colors>
    <mruColors>
      <color rgb="FFFF0000"/>
      <color rgb="FF990000"/>
      <color rgb="FFFFCCCC"/>
      <color rgb="FFF4C2C2"/>
      <color rgb="FF141414"/>
      <color rgb="FFFF6B6B"/>
      <color rgb="FFFF6666"/>
      <color rgb="FFFF787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[Final_nflx_data_2018-2022 Create file new.xlsx]Stock_Price!PivotTable1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Stock Price Trend (2018–2022)</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8100"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Stock_Price!$B$3</c:f>
              <c:strCache>
                <c:ptCount val="1"/>
                <c:pt idx="0">
                  <c:v>Total</c:v>
                </c:pt>
              </c:strCache>
            </c:strRef>
          </c:tx>
          <c:spPr>
            <a:ln w="38100"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Stock_Price!$A$4:$A$8</c:f>
              <c:strCache>
                <c:ptCount val="5"/>
                <c:pt idx="0">
                  <c:v>2018</c:v>
                </c:pt>
                <c:pt idx="1">
                  <c:v>2019</c:v>
                </c:pt>
                <c:pt idx="2">
                  <c:v>2020</c:v>
                </c:pt>
                <c:pt idx="3">
                  <c:v>2021</c:v>
                </c:pt>
                <c:pt idx="4">
                  <c:v>2022</c:v>
                </c:pt>
              </c:strCache>
            </c:strRef>
          </c:cat>
          <c:val>
            <c:numRef>
              <c:f>Stock_Price!$B$4:$B$8</c:f>
              <c:numCache>
                <c:formatCode>General</c:formatCode>
                <c:ptCount val="5"/>
                <c:pt idx="0">
                  <c:v>319.29031900796809</c:v>
                </c:pt>
                <c:pt idx="1">
                  <c:v>328.87238006746043</c:v>
                </c:pt>
                <c:pt idx="2">
                  <c:v>446.82723286956508</c:v>
                </c:pt>
                <c:pt idx="3">
                  <c:v>558.21769729365053</c:v>
                </c:pt>
                <c:pt idx="4">
                  <c:v>313.82705485271333</c:v>
                </c:pt>
              </c:numCache>
            </c:numRef>
          </c:val>
          <c:smooth val="0"/>
          <c:extLst>
            <c:ext xmlns:c16="http://schemas.microsoft.com/office/drawing/2014/chart" uri="{C3380CC4-5D6E-409C-BE32-E72D297353CC}">
              <c16:uniqueId val="{00000007-8E20-4554-B081-8A06C7A3D89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89976352"/>
        <c:axId val="289850112"/>
      </c:lineChart>
      <c:catAx>
        <c:axId val="2899763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89850112"/>
        <c:crosses val="autoZero"/>
        <c:auto val="1"/>
        <c:lblAlgn val="ctr"/>
        <c:lblOffset val="100"/>
        <c:noMultiLvlLbl val="0"/>
      </c:catAx>
      <c:valAx>
        <c:axId val="28985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9976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6666"/>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[Final_nflx_data_2018-2022 Create file new.xlsx]Monthly_Stock!PivotTable1</c:name>
    <c:fmtId val="0"/>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IN" sz="1600" b="1" i="0" u="none" strike="noStrike"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Monthly Stock Performance (Price Change &amp; Return %)</a:t>
            </a:r>
            <a:endParaRPr lang="en-IN" sz="16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2.2281390946721488E-2"/>
          <c:y val="3.875968992248062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41275" cap="rnd">
            <a:solidFill>
              <a:srgbClr val="FF0000"/>
            </a:solidFill>
            <a:round/>
          </a:ln>
          <a:effectLst/>
        </c:spPr>
        <c:marker>
          <c:symbol val="circle"/>
          <c:size val="5"/>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Monthly_Stock!$B$3</c:f>
              <c:strCache>
                <c:ptCount val="1"/>
                <c:pt idx="0">
                  <c:v>Sum of Price Change</c:v>
                </c:pt>
              </c:strCache>
            </c:strRef>
          </c:tx>
          <c:spPr>
            <a:solidFill>
              <a:srgbClr val="99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Monthly_Stock!$A$4:$A$15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Monthly_Stock!$B$4:$B$15</c:f>
              <c:numCache>
                <c:formatCode>General</c:formatCode>
                <c:ptCount val="12"/>
                <c:pt idx="0">
                  <c:v>-52.889938000000228</c:v>
                </c:pt>
                <c:pt idx="1">
                  <c:v>90.72016499999998</c:v>
                </c:pt>
                <c:pt idx="2">
                  <c:v>-85.500033000000599</c:v>
                </c:pt>
                <c:pt idx="3">
                  <c:v>-42.440084000000041</c:v>
                </c:pt>
                <c:pt idx="4">
                  <c:v>30.330122000000244</c:v>
                </c:pt>
                <c:pt idx="5">
                  <c:v>5.7598140000003468</c:v>
                </c:pt>
                <c:pt idx="6">
                  <c:v>46.239978999999892</c:v>
                </c:pt>
                <c:pt idx="7">
                  <c:v>86.640086000000053</c:v>
                </c:pt>
                <c:pt idx="8">
                  <c:v>-23.250075000000265</c:v>
                </c:pt>
                <c:pt idx="9">
                  <c:v>-78.510160999999584</c:v>
                </c:pt>
                <c:pt idx="10">
                  <c:v>-47.179999000000208</c:v>
                </c:pt>
                <c:pt idx="11">
                  <c:v>-25.620242000000133</c:v>
                </c:pt>
              </c:numCache>
            </c:numRef>
          </c:val>
          <c:extLst>
            <c:ext xmlns:c16="http://schemas.microsoft.com/office/drawing/2014/chart" uri="{C3380CC4-5D6E-409C-BE32-E72D297353CC}">
              <c16:uniqueId val="{0000000C-48CF-4925-9BF5-BFA3062DE9E3}"/>
            </c:ext>
          </c:extLst>
        </c:ser>
        <c:dLbls>
          <c:showLegendKey val="0"/>
          <c:showVal val="1"/>
          <c:showCatName val="0"/>
          <c:showSerName val="0"/>
          <c:showPercent val="0"/>
          <c:showBubbleSize val="0"/>
        </c:dLbls>
        <c:gapWidth val="219"/>
        <c:axId val="1753102783"/>
        <c:axId val="1753103263"/>
      </c:barChart>
      <c:lineChart>
        <c:grouping val="standard"/>
        <c:varyColors val="0"/>
        <c:ser>
          <c:idx val="1"/>
          <c:order val="1"/>
          <c:tx>
            <c:strRef>
              <c:f>Monthly_Stock!$C$3</c:f>
              <c:strCache>
                <c:ptCount val="1"/>
                <c:pt idx="0">
                  <c:v>Average of Daily Return %</c:v>
                </c:pt>
              </c:strCache>
            </c:strRef>
          </c:tx>
          <c:spPr>
            <a:ln w="41275" cap="rnd">
              <a:solidFill>
                <a:srgbClr val="FF0000"/>
              </a:solidFill>
              <a:round/>
            </a:ln>
            <a:effectLst/>
          </c:spPr>
          <c:marker>
            <c:symbol val="circle"/>
            <c:size val="5"/>
            <c:spPr>
              <a:solidFill>
                <a:schemeClr val="accent2"/>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Monthly_Stock!$A$4:$A$15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Monthly_Stock!$C$4:$C$15</c:f>
              <c:numCache>
                <c:formatCode>General</c:formatCode>
                <c:ptCount val="12"/>
                <c:pt idx="0">
                  <c:v>9.8277165561428889E-4</c:v>
                </c:pt>
                <c:pt idx="1">
                  <c:v>2.8292201898878436E-3</c:v>
                </c:pt>
                <c:pt idx="2">
                  <c:v>-1.5571670613876041E-3</c:v>
                </c:pt>
                <c:pt idx="3">
                  <c:v>-1.9289238541760345E-3</c:v>
                </c:pt>
                <c:pt idx="4">
                  <c:v>1.4870431528999613E-3</c:v>
                </c:pt>
                <c:pt idx="5">
                  <c:v>3.0426965123426446E-4</c:v>
                </c:pt>
                <c:pt idx="6">
                  <c:v>1.9816401503170377E-3</c:v>
                </c:pt>
                <c:pt idx="7">
                  <c:v>1.8534989637523413E-3</c:v>
                </c:pt>
                <c:pt idx="8">
                  <c:v>-8.5125962453164931E-4</c:v>
                </c:pt>
                <c:pt idx="9">
                  <c:v>-2.3801808898808452E-3</c:v>
                </c:pt>
                <c:pt idx="10">
                  <c:v>-5.8773443860610892E-5</c:v>
                </c:pt>
                <c:pt idx="11">
                  <c:v>-3.2099786990653364E-4</c:v>
                </c:pt>
              </c:numCache>
            </c:numRef>
          </c:val>
          <c:smooth val="0"/>
          <c:extLst>
            <c:ext xmlns:c16="http://schemas.microsoft.com/office/drawing/2014/chart" uri="{C3380CC4-5D6E-409C-BE32-E72D297353CC}">
              <c16:uniqueId val="{0000000D-48CF-4925-9BF5-BFA3062DE9E3}"/>
            </c:ext>
          </c:extLst>
        </c:ser>
        <c:dLbls>
          <c:showLegendKey val="0"/>
          <c:showVal val="0"/>
          <c:showCatName val="0"/>
          <c:showSerName val="0"/>
          <c:showPercent val="0"/>
          <c:showBubbleSize val="0"/>
        </c:dLbls>
        <c:marker val="1"/>
        <c:smooth val="0"/>
        <c:axId val="1820959120"/>
        <c:axId val="1820950960"/>
      </c:lineChart>
      <c:catAx>
        <c:axId val="17531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3103263"/>
        <c:crosses val="autoZero"/>
        <c:auto val="1"/>
        <c:lblAlgn val="ctr"/>
        <c:lblOffset val="100"/>
        <c:noMultiLvlLbl val="0"/>
      </c:catAx>
      <c:valAx>
        <c:axId val="1753103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753102783"/>
        <c:crosses val="autoZero"/>
        <c:crossBetween val="between"/>
      </c:valAx>
      <c:valAx>
        <c:axId val="18209509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59120"/>
        <c:crosses val="max"/>
        <c:crossBetween val="between"/>
      </c:valAx>
      <c:catAx>
        <c:axId val="1820959120"/>
        <c:scaling>
          <c:orientation val="minMax"/>
        </c:scaling>
        <c:delete val="1"/>
        <c:axPos val="b"/>
        <c:numFmt formatCode="General" sourceLinked="1"/>
        <c:majorTickMark val="out"/>
        <c:minorTickMark val="none"/>
        <c:tickLblPos val="nextTo"/>
        <c:crossAx val="18209509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787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[Final_nflx_data_2018-2022 Create file new.xlsx]Monthly_Trading!PivotTable1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Monthly Trading Volume Analysis</a:t>
            </a:r>
            <a:endParaRPr lang="en-US" sz="16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Monthly_Trading!$B$3</c:f>
              <c:strCache>
                <c:ptCount val="1"/>
                <c:pt idx="0">
                  <c:v>Total</c:v>
                </c:pt>
              </c:strCache>
            </c:strRef>
          </c:tx>
          <c:spPr>
            <a:solidFill>
              <a:srgbClr val="990000"/>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Monthly_Trading!$A$4:$A$15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Monthly_Trading!$B$4:$B$15</c:f>
              <c:numCache>
                <c:formatCode>General</c:formatCode>
                <c:ptCount val="12"/>
                <c:pt idx="0">
                  <c:v>1096518600</c:v>
                </c:pt>
                <c:pt idx="1">
                  <c:v>659746900</c:v>
                </c:pt>
                <c:pt idx="2">
                  <c:v>819947400</c:v>
                </c:pt>
                <c:pt idx="3">
                  <c:v>1167095700</c:v>
                </c:pt>
                <c:pt idx="4">
                  <c:v>720948300</c:v>
                </c:pt>
                <c:pt idx="5">
                  <c:v>743477000</c:v>
                </c:pt>
                <c:pt idx="6">
                  <c:v>841922000</c:v>
                </c:pt>
                <c:pt idx="7">
                  <c:v>521208600</c:v>
                </c:pt>
                <c:pt idx="8">
                  <c:v>547357800</c:v>
                </c:pt>
                <c:pt idx="9">
                  <c:v>848024900</c:v>
                </c:pt>
                <c:pt idx="10">
                  <c:v>527091400</c:v>
                </c:pt>
                <c:pt idx="11">
                  <c:v>496573000</c:v>
                </c:pt>
              </c:numCache>
            </c:numRef>
          </c:val>
          <c:extLst>
            <c:ext xmlns:c16="http://schemas.microsoft.com/office/drawing/2014/chart" uri="{C3380CC4-5D6E-409C-BE32-E72D297353CC}">
              <c16:uniqueId val="{00000006-32FB-42FA-BB52-A2DDC6C072D1}"/>
            </c:ext>
          </c:extLst>
        </c:ser>
        <c:dLbls>
          <c:dLblPos val="outEnd"/>
          <c:showLegendKey val="0"/>
          <c:showVal val="1"/>
          <c:showCatName val="0"/>
          <c:showSerName val="0"/>
          <c:showPercent val="0"/>
          <c:showBubbleSize val="0"/>
        </c:dLbls>
        <c:gapWidth val="65"/>
        <c:axId val="1167214079"/>
        <c:axId val="1167214559"/>
      </c:barChart>
      <c:catAx>
        <c:axId val="116721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67214559"/>
        <c:crosses val="autoZero"/>
        <c:auto val="1"/>
        <c:lblAlgn val="ctr"/>
        <c:lblOffset val="100"/>
        <c:noMultiLvlLbl val="0"/>
      </c:catAx>
      <c:valAx>
        <c:axId val="116721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6721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787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[Final_nflx_data_2018-2022 Create file new.xlsx]Monthly_Trading!PivotTable1</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Monthly Trading Volume Analysis</a:t>
            </a:r>
            <a:endParaRPr lang="en-US" sz="18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numFmt formatCode="0.0,,&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Monthly_Trading!$B$3</c:f>
              <c:strCache>
                <c:ptCount val="1"/>
                <c:pt idx="0">
                  <c:v>Total</c:v>
                </c:pt>
              </c:strCache>
            </c:strRef>
          </c:tx>
          <c:spPr>
            <a:solidFill>
              <a:srgbClr val="990000"/>
            </a:solidFill>
            <a:ln>
              <a:noFill/>
            </a:ln>
            <a:effectLst/>
          </c:spPr>
          <c:invertIfNegative val="0"/>
          <c:dLbls>
            <c:numFmt formatCode="0.0,,&quot;M&quot;" sourceLinked="0"/>
            <c:spPr>
              <a:noFill/>
              <a:ln>
                <a:noFill/>
              </a:ln>
              <a:effectLst>
                <a:softEdge rad="25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Monthly_Trading!$A$4:$A$15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Monthly_Trading!$B$4:$B$15</c:f>
              <c:numCache>
                <c:formatCode>General</c:formatCode>
                <c:ptCount val="12"/>
                <c:pt idx="0">
                  <c:v>1096518600</c:v>
                </c:pt>
                <c:pt idx="1">
                  <c:v>659746900</c:v>
                </c:pt>
                <c:pt idx="2">
                  <c:v>819947400</c:v>
                </c:pt>
                <c:pt idx="3">
                  <c:v>1167095700</c:v>
                </c:pt>
                <c:pt idx="4">
                  <c:v>720948300</c:v>
                </c:pt>
                <c:pt idx="5">
                  <c:v>743477000</c:v>
                </c:pt>
                <c:pt idx="6">
                  <c:v>841922000</c:v>
                </c:pt>
                <c:pt idx="7">
                  <c:v>521208600</c:v>
                </c:pt>
                <c:pt idx="8">
                  <c:v>547357800</c:v>
                </c:pt>
                <c:pt idx="9">
                  <c:v>848024900</c:v>
                </c:pt>
                <c:pt idx="10">
                  <c:v>527091400</c:v>
                </c:pt>
                <c:pt idx="11">
                  <c:v>496573000</c:v>
                </c:pt>
              </c:numCache>
            </c:numRef>
          </c:val>
          <c:extLst>
            <c:ext xmlns:c16="http://schemas.microsoft.com/office/drawing/2014/chart" uri="{C3380CC4-5D6E-409C-BE32-E72D297353CC}">
              <c16:uniqueId val="{00000007-7131-4373-A065-B56C2D43A3D0}"/>
            </c:ext>
          </c:extLst>
        </c:ser>
        <c:dLbls>
          <c:dLblPos val="outEnd"/>
          <c:showLegendKey val="0"/>
          <c:showVal val="1"/>
          <c:showCatName val="0"/>
          <c:showSerName val="0"/>
          <c:showPercent val="0"/>
          <c:showBubbleSize val="0"/>
        </c:dLbls>
        <c:gapWidth val="65"/>
        <c:axId val="1167214079"/>
        <c:axId val="1167214559"/>
      </c:barChart>
      <c:catAx>
        <c:axId val="116721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67214559"/>
        <c:crosses val="autoZero"/>
        <c:auto val="1"/>
        <c:lblAlgn val="ctr"/>
        <c:lblOffset val="100"/>
        <c:noMultiLvlLbl val="0"/>
      </c:catAx>
      <c:valAx>
        <c:axId val="116721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6721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[Final_nflx_data_2018-2022 Create file new.xlsx]Monthly_Stock!PivotTable1</c:name>
    <c:fmtId val="5"/>
  </c:pivotSource>
  <c:chart>
    <c:title>
      <c:tx>
        <c:rich>
          <a:bodyPr rot="0" spcFirstLastPara="1" vertOverflow="ellipsis" vert="horz" wrap="square" anchor="ctr" anchorCtr="1"/>
          <a:lstStyle/>
          <a:p>
            <a:pPr algn="ctr">
              <a:defRPr sz="1800" b="0" i="0" u="none" strike="noStrike" kern="1200" spc="0" baseline="0">
                <a:solidFill>
                  <a:schemeClr val="bg1"/>
                </a:solidFill>
                <a:latin typeface="+mn-lt"/>
                <a:ea typeface="+mn-ea"/>
                <a:cs typeface="+mn-cs"/>
              </a:defRPr>
            </a:pPr>
            <a:r>
              <a:rPr lang="en-IN" sz="1800" b="1" i="0" u="none" strike="noStrike"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Monthly Stock Performance (Price Change &amp; Return %)</a:t>
            </a:r>
            <a:endParaRPr lang="en-IN" sz="18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2.2281441362074838E-2"/>
          <c:y val="1.2158578018170634E-3"/>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circle"/>
          <c:size val="5"/>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circle"/>
          <c:size val="5"/>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47625" cap="rnd">
            <a:solidFill>
              <a:srgbClr val="FF0000"/>
            </a:solidFill>
            <a:round/>
          </a:ln>
          <a:effectLst/>
        </c:spPr>
        <c:marker>
          <c:symbol val="circle"/>
          <c:size val="5"/>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Monthly_Stock!$B$3</c:f>
              <c:strCache>
                <c:ptCount val="1"/>
                <c:pt idx="0">
                  <c:v>Sum of Price Change</c:v>
                </c:pt>
              </c:strCache>
            </c:strRef>
          </c:tx>
          <c:spPr>
            <a:solidFill>
              <a:srgbClr val="99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Monthly_Stock!$A$4:$A$15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Monthly_Stock!$B$4:$B$15</c:f>
              <c:numCache>
                <c:formatCode>General</c:formatCode>
                <c:ptCount val="12"/>
                <c:pt idx="0">
                  <c:v>-52.889938000000228</c:v>
                </c:pt>
                <c:pt idx="1">
                  <c:v>90.72016499999998</c:v>
                </c:pt>
                <c:pt idx="2">
                  <c:v>-85.500033000000599</c:v>
                </c:pt>
                <c:pt idx="3">
                  <c:v>-42.440084000000041</c:v>
                </c:pt>
                <c:pt idx="4">
                  <c:v>30.330122000000244</c:v>
                </c:pt>
                <c:pt idx="5">
                  <c:v>5.7598140000003468</c:v>
                </c:pt>
                <c:pt idx="6">
                  <c:v>46.239978999999892</c:v>
                </c:pt>
                <c:pt idx="7">
                  <c:v>86.640086000000053</c:v>
                </c:pt>
                <c:pt idx="8">
                  <c:v>-23.250075000000265</c:v>
                </c:pt>
                <c:pt idx="9">
                  <c:v>-78.510160999999584</c:v>
                </c:pt>
                <c:pt idx="10">
                  <c:v>-47.179999000000208</c:v>
                </c:pt>
                <c:pt idx="11">
                  <c:v>-25.620242000000133</c:v>
                </c:pt>
              </c:numCache>
            </c:numRef>
          </c:val>
          <c:extLst>
            <c:ext xmlns:c16="http://schemas.microsoft.com/office/drawing/2014/chart" uri="{C3380CC4-5D6E-409C-BE32-E72D297353CC}">
              <c16:uniqueId val="{0000000D-A1C7-44BF-A680-183113EBA583}"/>
            </c:ext>
          </c:extLst>
        </c:ser>
        <c:dLbls>
          <c:showLegendKey val="0"/>
          <c:showVal val="1"/>
          <c:showCatName val="0"/>
          <c:showSerName val="0"/>
          <c:showPercent val="0"/>
          <c:showBubbleSize val="0"/>
        </c:dLbls>
        <c:gapWidth val="219"/>
        <c:overlap val="-27"/>
        <c:axId val="1753102783"/>
        <c:axId val="1753103263"/>
      </c:barChart>
      <c:lineChart>
        <c:grouping val="standard"/>
        <c:varyColors val="0"/>
        <c:ser>
          <c:idx val="1"/>
          <c:order val="1"/>
          <c:tx>
            <c:strRef>
              <c:f>Monthly_Stock!$C$3</c:f>
              <c:strCache>
                <c:ptCount val="1"/>
                <c:pt idx="0">
                  <c:v>Average of Daily Return %</c:v>
                </c:pt>
              </c:strCache>
            </c:strRef>
          </c:tx>
          <c:spPr>
            <a:ln w="47625" cap="rnd">
              <a:solidFill>
                <a:srgbClr val="FF0000"/>
              </a:solidFill>
              <a:round/>
            </a:ln>
            <a:effectLst/>
          </c:spPr>
          <c:marker>
            <c:symbol val="circle"/>
            <c:size val="5"/>
            <c:spPr>
              <a:solidFill>
                <a:schemeClr val="accent2"/>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Monthly_Stock!$A$4:$A$15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Monthly_Stock!$C$4:$C$15</c:f>
              <c:numCache>
                <c:formatCode>General</c:formatCode>
                <c:ptCount val="12"/>
                <c:pt idx="0">
                  <c:v>9.8277165561428889E-4</c:v>
                </c:pt>
                <c:pt idx="1">
                  <c:v>2.8292201898878436E-3</c:v>
                </c:pt>
                <c:pt idx="2">
                  <c:v>-1.5571670613876041E-3</c:v>
                </c:pt>
                <c:pt idx="3">
                  <c:v>-1.9289238541760345E-3</c:v>
                </c:pt>
                <c:pt idx="4">
                  <c:v>1.4870431528999613E-3</c:v>
                </c:pt>
                <c:pt idx="5">
                  <c:v>3.0426965123426446E-4</c:v>
                </c:pt>
                <c:pt idx="6">
                  <c:v>1.9816401503170377E-3</c:v>
                </c:pt>
                <c:pt idx="7">
                  <c:v>1.8534989637523413E-3</c:v>
                </c:pt>
                <c:pt idx="8">
                  <c:v>-8.5125962453164931E-4</c:v>
                </c:pt>
                <c:pt idx="9">
                  <c:v>-2.3801808898808452E-3</c:v>
                </c:pt>
                <c:pt idx="10">
                  <c:v>-5.8773443860610892E-5</c:v>
                </c:pt>
                <c:pt idx="11">
                  <c:v>-3.2099786990653364E-4</c:v>
                </c:pt>
              </c:numCache>
            </c:numRef>
          </c:val>
          <c:smooth val="0"/>
          <c:extLst>
            <c:ext xmlns:c16="http://schemas.microsoft.com/office/drawing/2014/chart" uri="{C3380CC4-5D6E-409C-BE32-E72D297353CC}">
              <c16:uniqueId val="{0000000E-A1C7-44BF-A680-183113EBA583}"/>
            </c:ext>
          </c:extLst>
        </c:ser>
        <c:dLbls>
          <c:showLegendKey val="0"/>
          <c:showVal val="0"/>
          <c:showCatName val="0"/>
          <c:showSerName val="0"/>
          <c:showPercent val="0"/>
          <c:showBubbleSize val="0"/>
        </c:dLbls>
        <c:marker val="1"/>
        <c:smooth val="0"/>
        <c:axId val="1820995600"/>
        <c:axId val="1821010000"/>
      </c:lineChart>
      <c:catAx>
        <c:axId val="17531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3103263"/>
        <c:crosses val="autoZero"/>
        <c:auto val="1"/>
        <c:lblAlgn val="ctr"/>
        <c:lblOffset val="100"/>
        <c:noMultiLvlLbl val="0"/>
      </c:catAx>
      <c:valAx>
        <c:axId val="1753103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753102783"/>
        <c:crosses val="autoZero"/>
        <c:crossBetween val="between"/>
      </c:valAx>
      <c:valAx>
        <c:axId val="18210100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95600"/>
        <c:crosses val="max"/>
        <c:crossBetween val="between"/>
      </c:valAx>
      <c:catAx>
        <c:axId val="1820995600"/>
        <c:scaling>
          <c:orientation val="minMax"/>
        </c:scaling>
        <c:delete val="1"/>
        <c:axPos val="b"/>
        <c:numFmt formatCode="General" sourceLinked="1"/>
        <c:majorTickMark val="out"/>
        <c:minorTickMark val="none"/>
        <c:tickLblPos val="nextTo"/>
        <c:crossAx val="18210100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[Final_nflx_data_2018-2022 Create file new.xlsx]Stock_Price!PivotTable1</c:name>
    <c:fmtId val="9"/>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ADLaM Display" panose="02010000000000000000" pitchFamily="2" charset="0"/>
                <a:ea typeface="ADLaM Display" panose="02010000000000000000" pitchFamily="2" charset="0"/>
                <a:cs typeface="ADLaM Display" panose="02010000000000000000" pitchFamily="2" charset="0"/>
              </a:defRPr>
            </a:pPr>
            <a:r>
              <a:rPr lang="en-IN" sz="1800">
                <a:latin typeface="ADLaM Display" panose="02010000000000000000" pitchFamily="2" charset="0"/>
                <a:ea typeface="ADLaM Display" panose="02010000000000000000" pitchFamily="2" charset="0"/>
                <a:cs typeface="ADLaM Display" panose="02010000000000000000" pitchFamily="2" charset="0"/>
              </a:rPr>
              <a:t>Stock Price Trend (2018–2022)</a:t>
            </a:r>
            <a:endParaRPr lang="en-US" sz="18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0717903185166359"/>
          <c:y val="1.4035087719298246E-2"/>
        </c:manualLayout>
      </c:layout>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pattFill prst="ltUpDiag">
            <a:fgClr>
              <a:schemeClr val="accent1"/>
            </a:fgClr>
            <a:bgClr>
              <a:schemeClr val="lt1"/>
            </a:bgClr>
          </a:pattFill>
          <a:ln w="38100"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8100"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603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Stock_Price!$B$3</c:f>
              <c:strCache>
                <c:ptCount val="1"/>
                <c:pt idx="0">
                  <c:v>Total</c:v>
                </c:pt>
              </c:strCache>
            </c:strRef>
          </c:tx>
          <c:spPr>
            <a:ln w="603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Stock_Price!$A$4:$A$8</c:f>
              <c:strCache>
                <c:ptCount val="5"/>
                <c:pt idx="0">
                  <c:v>2018</c:v>
                </c:pt>
                <c:pt idx="1">
                  <c:v>2019</c:v>
                </c:pt>
                <c:pt idx="2">
                  <c:v>2020</c:v>
                </c:pt>
                <c:pt idx="3">
                  <c:v>2021</c:v>
                </c:pt>
                <c:pt idx="4">
                  <c:v>2022</c:v>
                </c:pt>
              </c:strCache>
            </c:strRef>
          </c:cat>
          <c:val>
            <c:numRef>
              <c:f>Stock_Price!$B$4:$B$8</c:f>
              <c:numCache>
                <c:formatCode>General</c:formatCode>
                <c:ptCount val="5"/>
                <c:pt idx="0">
                  <c:v>319.29031900796809</c:v>
                </c:pt>
                <c:pt idx="1">
                  <c:v>328.87238006746043</c:v>
                </c:pt>
                <c:pt idx="2">
                  <c:v>446.82723286956508</c:v>
                </c:pt>
                <c:pt idx="3">
                  <c:v>558.21769729365053</c:v>
                </c:pt>
                <c:pt idx="4">
                  <c:v>313.82705485271333</c:v>
                </c:pt>
              </c:numCache>
            </c:numRef>
          </c:val>
          <c:smooth val="0"/>
          <c:extLst>
            <c:ext xmlns:c16="http://schemas.microsoft.com/office/drawing/2014/chart" uri="{C3380CC4-5D6E-409C-BE32-E72D297353CC}">
              <c16:uniqueId val="{00000008-E36A-49E7-AE6E-E537A6EFB50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89976352"/>
        <c:axId val="289850112"/>
      </c:lineChart>
      <c:catAx>
        <c:axId val="2899763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89850112"/>
        <c:crosses val="autoZero"/>
        <c:auto val="1"/>
        <c:lblAlgn val="ctr"/>
        <c:lblOffset val="100"/>
        <c:noMultiLvlLbl val="0"/>
      </c:catAx>
      <c:valAx>
        <c:axId val="28985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9976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457200</xdr:colOff>
      <xdr:row>16</xdr:row>
      <xdr:rowOff>185737</xdr:rowOff>
    </xdr:from>
    <xdr:to>
      <xdr:col>12</xdr:col>
      <xdr:colOff>152400</xdr:colOff>
      <xdr:row>31</xdr:row>
      <xdr:rowOff>71437</xdr:rowOff>
    </xdr:to>
    <xdr:graphicFrame macro="">
      <xdr:nvGraphicFramePr>
        <xdr:cNvPr id="2" name="Chart 1">
          <a:extLst>
            <a:ext uri="{FF2B5EF4-FFF2-40B4-BE49-F238E27FC236}">
              <a16:creationId xmlns:a16="http://schemas.microsoft.com/office/drawing/2014/main" id="{A6A3050C-05EE-C95D-E520-0952879FC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190499</xdr:colOff>
      <xdr:row>14</xdr:row>
      <xdr:rowOff>76200</xdr:rowOff>
    </xdr:from>
    <xdr:to>
      <xdr:col>14</xdr:col>
      <xdr:colOff>133350</xdr:colOff>
      <xdr:row>31</xdr:row>
      <xdr:rowOff>114300</xdr:rowOff>
    </xdr:to>
    <xdr:graphicFrame macro="">
      <xdr:nvGraphicFramePr>
        <xdr:cNvPr id="2" name="Chart 1">
          <a:extLst>
            <a:ext uri="{FF2B5EF4-FFF2-40B4-BE49-F238E27FC236}">
              <a16:creationId xmlns:a16="http://schemas.microsoft.com/office/drawing/2014/main" id="{F6EF810C-5E26-7AFE-B887-B6B037AD8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200025</xdr:colOff>
      <xdr:row>4</xdr:row>
      <xdr:rowOff>19050</xdr:rowOff>
    </xdr:from>
    <xdr:to>
      <xdr:col>11</xdr:col>
      <xdr:colOff>428625</xdr:colOff>
      <xdr:row>20</xdr:row>
      <xdr:rowOff>138112</xdr:rowOff>
    </xdr:to>
    <xdr:graphicFrame macro="">
      <xdr:nvGraphicFramePr>
        <xdr:cNvPr id="2" name="Chart 1">
          <a:extLst>
            <a:ext uri="{FF2B5EF4-FFF2-40B4-BE49-F238E27FC236}">
              <a16:creationId xmlns:a16="http://schemas.microsoft.com/office/drawing/2014/main" id="{9E89BEC2-F54D-FF34-D81C-CE922ED38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11904</xdr:colOff>
      <xdr:row>13</xdr:row>
      <xdr:rowOff>130967</xdr:rowOff>
    </xdr:from>
    <xdr:to>
      <xdr:col>24</xdr:col>
      <xdr:colOff>59529</xdr:colOff>
      <xdr:row>41</xdr:row>
      <xdr:rowOff>23812</xdr:rowOff>
    </xdr:to>
    <xdr:sp macro="" textlink="">
      <xdr:nvSpPr>
        <xdr:cNvPr id="4" name="Rectangle: Rounded Corners 3">
          <a:extLst>
            <a:ext uri="{FF2B5EF4-FFF2-40B4-BE49-F238E27FC236}">
              <a16:creationId xmlns:a16="http://schemas.microsoft.com/office/drawing/2014/main" id="{F3C39EEA-CDF3-9492-BD87-DB659FA4361B}"/>
            </a:ext>
          </a:extLst>
        </xdr:cNvPr>
        <xdr:cNvSpPr/>
      </xdr:nvSpPr>
      <xdr:spPr>
        <a:xfrm>
          <a:off x="9120185" y="3012280"/>
          <a:ext cx="5512594" cy="5226845"/>
        </a:xfrm>
        <a:prstGeom prst="roundRect">
          <a:avLst/>
        </a:prstGeom>
        <a:solidFill>
          <a:srgbClr val="FF787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214314</xdr:colOff>
      <xdr:row>14</xdr:row>
      <xdr:rowOff>83343</xdr:rowOff>
    </xdr:from>
    <xdr:to>
      <xdr:col>23</xdr:col>
      <xdr:colOff>476250</xdr:colOff>
      <xdr:row>40</xdr:row>
      <xdr:rowOff>71436</xdr:rowOff>
    </xdr:to>
    <xdr:graphicFrame macro="">
      <xdr:nvGraphicFramePr>
        <xdr:cNvPr id="3" name="Chart 2">
          <a:extLst>
            <a:ext uri="{FF2B5EF4-FFF2-40B4-BE49-F238E27FC236}">
              <a16:creationId xmlns:a16="http://schemas.microsoft.com/office/drawing/2014/main" id="{77431F1B-396B-4F9E-BB98-5496FD383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297655</xdr:colOff>
      <xdr:row>13</xdr:row>
      <xdr:rowOff>178594</xdr:rowOff>
    </xdr:from>
    <xdr:to>
      <xdr:col>36</xdr:col>
      <xdr:colOff>357187</xdr:colOff>
      <xdr:row>41</xdr:row>
      <xdr:rowOff>23812</xdr:rowOff>
    </xdr:to>
    <xdr:sp macro="" textlink="">
      <xdr:nvSpPr>
        <xdr:cNvPr id="2" name="Rectangle: Rounded Corners 1">
          <a:extLst>
            <a:ext uri="{FF2B5EF4-FFF2-40B4-BE49-F238E27FC236}">
              <a16:creationId xmlns:a16="http://schemas.microsoft.com/office/drawing/2014/main" id="{8128FADD-A14C-735E-322F-9C8ACB898FBB}"/>
            </a:ext>
          </a:extLst>
        </xdr:cNvPr>
        <xdr:cNvSpPr/>
      </xdr:nvSpPr>
      <xdr:spPr>
        <a:xfrm>
          <a:off x="14870905" y="3059907"/>
          <a:ext cx="7346157" cy="5179218"/>
        </a:xfrm>
        <a:prstGeom prst="roundRect">
          <a:avLst/>
        </a:prstGeom>
        <a:solidFill>
          <a:srgbClr val="FF6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428624</xdr:colOff>
      <xdr:row>14</xdr:row>
      <xdr:rowOff>178592</xdr:rowOff>
    </xdr:from>
    <xdr:to>
      <xdr:col>36</xdr:col>
      <xdr:colOff>202404</xdr:colOff>
      <xdr:row>40</xdr:row>
      <xdr:rowOff>-1</xdr:rowOff>
    </xdr:to>
    <xdr:graphicFrame macro="">
      <xdr:nvGraphicFramePr>
        <xdr:cNvPr id="6" name="Chart 5">
          <a:extLst>
            <a:ext uri="{FF2B5EF4-FFF2-40B4-BE49-F238E27FC236}">
              <a16:creationId xmlns:a16="http://schemas.microsoft.com/office/drawing/2014/main" id="{6171C0FE-4461-459D-92B2-B3879A728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404813</xdr:colOff>
      <xdr:row>13</xdr:row>
      <xdr:rowOff>107155</xdr:rowOff>
    </xdr:from>
    <xdr:to>
      <xdr:col>14</xdr:col>
      <xdr:colOff>285749</xdr:colOff>
      <xdr:row>41</xdr:row>
      <xdr:rowOff>23812</xdr:rowOff>
    </xdr:to>
    <xdr:sp macro="" textlink="">
      <xdr:nvSpPr>
        <xdr:cNvPr id="8" name="Rectangle: Rounded Corners 7">
          <a:extLst>
            <a:ext uri="{FF2B5EF4-FFF2-40B4-BE49-F238E27FC236}">
              <a16:creationId xmlns:a16="http://schemas.microsoft.com/office/drawing/2014/main" id="{9B8C1369-1735-6469-A667-E0C8B0FDF706}"/>
            </a:ext>
          </a:extLst>
        </xdr:cNvPr>
        <xdr:cNvSpPr/>
      </xdr:nvSpPr>
      <xdr:spPr>
        <a:xfrm>
          <a:off x="2833688" y="2988468"/>
          <a:ext cx="5953124" cy="5250657"/>
        </a:xfrm>
        <a:prstGeom prst="roundRect">
          <a:avLst/>
        </a:prstGeom>
        <a:solidFill>
          <a:srgbClr val="FF666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535780</xdr:colOff>
      <xdr:row>14</xdr:row>
      <xdr:rowOff>47626</xdr:rowOff>
    </xdr:from>
    <xdr:to>
      <xdr:col>14</xdr:col>
      <xdr:colOff>95249</xdr:colOff>
      <xdr:row>39</xdr:row>
      <xdr:rowOff>178593</xdr:rowOff>
    </xdr:to>
    <xdr:graphicFrame macro="">
      <xdr:nvGraphicFramePr>
        <xdr:cNvPr id="7" name="Chart 6">
          <a:extLst>
            <a:ext uri="{FF2B5EF4-FFF2-40B4-BE49-F238E27FC236}">
              <a16:creationId xmlns:a16="http://schemas.microsoft.com/office/drawing/2014/main" id="{0BDE3A90-5565-462F-B082-3A18BF106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321467</xdr:colOff>
      <xdr:row>3</xdr:row>
      <xdr:rowOff>138113</xdr:rowOff>
    </xdr:from>
    <xdr:to>
      <xdr:col>10</xdr:col>
      <xdr:colOff>357186</xdr:colOff>
      <xdr:row>10</xdr:row>
      <xdr:rowOff>11906</xdr:rowOff>
    </xdr:to>
    <xdr:sp macro="" textlink="">
      <xdr:nvSpPr>
        <xdr:cNvPr id="5" name="Rectangle: Rounded Corners 4">
          <a:extLst>
            <a:ext uri="{FF2B5EF4-FFF2-40B4-BE49-F238E27FC236}">
              <a16:creationId xmlns:a16="http://schemas.microsoft.com/office/drawing/2014/main" id="{FFC19CAD-57E9-115E-543C-F09D6C144096}"/>
            </a:ext>
          </a:extLst>
        </xdr:cNvPr>
        <xdr:cNvSpPr/>
      </xdr:nvSpPr>
      <xdr:spPr>
        <a:xfrm>
          <a:off x="3357561" y="1114426"/>
          <a:ext cx="3071813" cy="1207293"/>
        </a:xfrm>
        <a:prstGeom prst="roundRect">
          <a:avLst/>
        </a:prstGeom>
        <a:solidFill>
          <a:srgbClr val="FF666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solidFill>
              <a:schemeClr val="bg1"/>
            </a:solidFill>
          </a:endParaRPr>
        </a:p>
      </xdr:txBody>
    </xdr:sp>
    <xdr:clientData/>
  </xdr:twoCellAnchor>
  <xdr:twoCellAnchor>
    <xdr:from>
      <xdr:col>23</xdr:col>
      <xdr:colOff>478166</xdr:colOff>
      <xdr:row>3</xdr:row>
      <xdr:rowOff>138113</xdr:rowOff>
    </xdr:from>
    <xdr:to>
      <xdr:col>28</xdr:col>
      <xdr:colOff>305845</xdr:colOff>
      <xdr:row>10</xdr:row>
      <xdr:rowOff>130968</xdr:rowOff>
    </xdr:to>
    <xdr:sp macro="" textlink="">
      <xdr:nvSpPr>
        <xdr:cNvPr id="9" name="Rectangle: Rounded Corners 8">
          <a:extLst>
            <a:ext uri="{FF2B5EF4-FFF2-40B4-BE49-F238E27FC236}">
              <a16:creationId xmlns:a16="http://schemas.microsoft.com/office/drawing/2014/main" id="{3FD33F21-268B-42D5-B9E5-021C0B7C5704}"/>
            </a:ext>
          </a:extLst>
        </xdr:cNvPr>
        <xdr:cNvSpPr/>
      </xdr:nvSpPr>
      <xdr:spPr>
        <a:xfrm>
          <a:off x="14444197" y="1114426"/>
          <a:ext cx="2863773" cy="1326355"/>
        </a:xfrm>
        <a:prstGeom prst="roundRect">
          <a:avLst/>
        </a:prstGeom>
        <a:solidFill>
          <a:srgbClr val="FF666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11</xdr:col>
      <xdr:colOff>458535</xdr:colOff>
      <xdr:row>3</xdr:row>
      <xdr:rowOff>138113</xdr:rowOff>
    </xdr:from>
    <xdr:to>
      <xdr:col>16</xdr:col>
      <xdr:colOff>370719</xdr:colOff>
      <xdr:row>10</xdr:row>
      <xdr:rowOff>107156</xdr:rowOff>
    </xdr:to>
    <xdr:sp macro="" textlink="">
      <xdr:nvSpPr>
        <xdr:cNvPr id="10" name="Rectangle: Rounded Corners 9">
          <a:extLst>
            <a:ext uri="{FF2B5EF4-FFF2-40B4-BE49-F238E27FC236}">
              <a16:creationId xmlns:a16="http://schemas.microsoft.com/office/drawing/2014/main" id="{39852807-5456-426C-92CA-4350460B00BD}"/>
            </a:ext>
          </a:extLst>
        </xdr:cNvPr>
        <xdr:cNvSpPr/>
      </xdr:nvSpPr>
      <xdr:spPr>
        <a:xfrm>
          <a:off x="7137941" y="1114426"/>
          <a:ext cx="2948278" cy="1302543"/>
        </a:xfrm>
        <a:prstGeom prst="roundRect">
          <a:avLst/>
        </a:prstGeom>
        <a:solidFill>
          <a:srgbClr val="FF666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17</xdr:col>
      <xdr:colOff>472067</xdr:colOff>
      <xdr:row>3</xdr:row>
      <xdr:rowOff>138113</xdr:rowOff>
    </xdr:from>
    <xdr:to>
      <xdr:col>22</xdr:col>
      <xdr:colOff>376817</xdr:colOff>
      <xdr:row>10</xdr:row>
      <xdr:rowOff>83343</xdr:rowOff>
    </xdr:to>
    <xdr:sp macro="" textlink="">
      <xdr:nvSpPr>
        <xdr:cNvPr id="11" name="Rectangle: Rounded Corners 10">
          <a:extLst>
            <a:ext uri="{FF2B5EF4-FFF2-40B4-BE49-F238E27FC236}">
              <a16:creationId xmlns:a16="http://schemas.microsoft.com/office/drawing/2014/main" id="{8440A24B-036E-4328-89AB-7DEA4E0BDC71}"/>
            </a:ext>
          </a:extLst>
        </xdr:cNvPr>
        <xdr:cNvSpPr/>
      </xdr:nvSpPr>
      <xdr:spPr>
        <a:xfrm>
          <a:off x="10794786" y="1114426"/>
          <a:ext cx="2940844" cy="1278730"/>
        </a:xfrm>
        <a:prstGeom prst="roundRect">
          <a:avLst/>
        </a:prstGeom>
        <a:solidFill>
          <a:srgbClr val="FF666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29</xdr:col>
      <xdr:colOff>407193</xdr:colOff>
      <xdr:row>3</xdr:row>
      <xdr:rowOff>138113</xdr:rowOff>
    </xdr:from>
    <xdr:to>
      <xdr:col>36</xdr:col>
      <xdr:colOff>0</xdr:colOff>
      <xdr:row>10</xdr:row>
      <xdr:rowOff>107156</xdr:rowOff>
    </xdr:to>
    <xdr:sp macro="" textlink="">
      <xdr:nvSpPr>
        <xdr:cNvPr id="12" name="Rectangle: Rounded Corners 11">
          <a:extLst>
            <a:ext uri="{FF2B5EF4-FFF2-40B4-BE49-F238E27FC236}">
              <a16:creationId xmlns:a16="http://schemas.microsoft.com/office/drawing/2014/main" id="{E7FDCD9F-9DDB-4D55-B26D-1A29E9B652AE}"/>
            </a:ext>
          </a:extLst>
        </xdr:cNvPr>
        <xdr:cNvSpPr/>
      </xdr:nvSpPr>
      <xdr:spPr>
        <a:xfrm>
          <a:off x="18016537" y="1114426"/>
          <a:ext cx="3843338" cy="1302543"/>
        </a:xfrm>
        <a:prstGeom prst="roundRect">
          <a:avLst/>
        </a:prstGeom>
        <a:solidFill>
          <a:srgbClr val="FF6666"/>
        </a:solidFill>
        <a:ln>
          <a:noFill/>
        </a:ln>
        <a:effectLst>
          <a:outerShdw blurRad="63500" sx="102000" sy="102000" algn="ctr"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47623</xdr:colOff>
      <xdr:row>1</xdr:row>
      <xdr:rowOff>59531</xdr:rowOff>
    </xdr:from>
    <xdr:to>
      <xdr:col>3</xdr:col>
      <xdr:colOff>571500</xdr:colOff>
      <xdr:row>41</xdr:row>
      <xdr:rowOff>95250</xdr:rowOff>
    </xdr:to>
    <xdr:sp macro="" textlink="">
      <xdr:nvSpPr>
        <xdr:cNvPr id="13" name="Rectangle: Rounded Corners 12">
          <a:extLst>
            <a:ext uri="{FF2B5EF4-FFF2-40B4-BE49-F238E27FC236}">
              <a16:creationId xmlns:a16="http://schemas.microsoft.com/office/drawing/2014/main" id="{42D45D54-96CF-B6CB-F236-26315734946B}"/>
            </a:ext>
          </a:extLst>
        </xdr:cNvPr>
        <xdr:cNvSpPr/>
      </xdr:nvSpPr>
      <xdr:spPr>
        <a:xfrm>
          <a:off x="47623" y="654844"/>
          <a:ext cx="2345533" cy="7655719"/>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0</xdr:col>
      <xdr:colOff>190500</xdr:colOff>
      <xdr:row>1</xdr:row>
      <xdr:rowOff>154782</xdr:rowOff>
    </xdr:from>
    <xdr:to>
      <xdr:col>3</xdr:col>
      <xdr:colOff>404813</xdr:colOff>
      <xdr:row>7</xdr:row>
      <xdr:rowOff>71437</xdr:rowOff>
    </xdr:to>
    <xdr:sp macro="" textlink="">
      <xdr:nvSpPr>
        <xdr:cNvPr id="18" name="Rectangle: Rounded Corners 17">
          <a:extLst>
            <a:ext uri="{FF2B5EF4-FFF2-40B4-BE49-F238E27FC236}">
              <a16:creationId xmlns:a16="http://schemas.microsoft.com/office/drawing/2014/main" id="{26C931B6-6F6F-52E1-A379-507992897664}"/>
            </a:ext>
          </a:extLst>
        </xdr:cNvPr>
        <xdr:cNvSpPr/>
      </xdr:nvSpPr>
      <xdr:spPr>
        <a:xfrm>
          <a:off x="190500" y="750095"/>
          <a:ext cx="2035969" cy="10596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333374</xdr:colOff>
      <xdr:row>2</xdr:row>
      <xdr:rowOff>35720</xdr:rowOff>
    </xdr:from>
    <xdr:to>
      <xdr:col>3</xdr:col>
      <xdr:colOff>285750</xdr:colOff>
      <xdr:row>6</xdr:row>
      <xdr:rowOff>178594</xdr:rowOff>
    </xdr:to>
    <xdr:pic>
      <xdr:nvPicPr>
        <xdr:cNvPr id="17" name="Picture 16">
          <a:extLst>
            <a:ext uri="{FF2B5EF4-FFF2-40B4-BE49-F238E27FC236}">
              <a16:creationId xmlns:a16="http://schemas.microsoft.com/office/drawing/2014/main" id="{AD43528C-9EB3-221E-ACBE-1987530F558A}"/>
            </a:ext>
          </a:extLst>
        </xdr:cNvPr>
        <xdr:cNvPicPr>
          <a:picLocks noChangeAspect="1"/>
        </xdr:cNvPicPr>
      </xdr:nvPicPr>
      <xdr:blipFill>
        <a:blip xmlns:r="http://schemas.openxmlformats.org/officeDocument/2006/relationships" r:embed="rId4"/>
        <a:stretch>
          <a:fillRect/>
        </a:stretch>
      </xdr:blipFill>
      <xdr:spPr>
        <a:xfrm>
          <a:off x="333374" y="821533"/>
          <a:ext cx="1774032" cy="904874"/>
        </a:xfrm>
        <a:prstGeom prst="rect">
          <a:avLst/>
        </a:prstGeom>
        <a:noFill/>
        <a:ln>
          <a:noFill/>
        </a:ln>
        <a:effectLst>
          <a:outerShdw blurRad="50800" dist="38100" dir="2700000" algn="tl" rotWithShape="0">
            <a:prstClr val="black">
              <a:alpha val="40000"/>
            </a:prstClr>
          </a:outerShdw>
        </a:effectLst>
      </xdr:spPr>
    </xdr:pic>
    <xdr:clientData/>
  </xdr:twoCellAnchor>
  <xdr:twoCellAnchor>
    <xdr:from>
      <xdr:col>5</xdr:col>
      <xdr:colOff>523875</xdr:colOff>
      <xdr:row>4</xdr:row>
      <xdr:rowOff>11906</xdr:rowOff>
    </xdr:from>
    <xdr:to>
      <xdr:col>10</xdr:col>
      <xdr:colOff>119062</xdr:colOff>
      <xdr:row>6</xdr:row>
      <xdr:rowOff>35718</xdr:rowOff>
    </xdr:to>
    <xdr:sp macro="" textlink="">
      <xdr:nvSpPr>
        <xdr:cNvPr id="19" name="TextBox 18">
          <a:extLst>
            <a:ext uri="{FF2B5EF4-FFF2-40B4-BE49-F238E27FC236}">
              <a16:creationId xmlns:a16="http://schemas.microsoft.com/office/drawing/2014/main" id="{A7ED4835-3159-94AF-A2B5-95C0BAEED084}"/>
            </a:ext>
          </a:extLst>
        </xdr:cNvPr>
        <xdr:cNvSpPr txBox="1"/>
      </xdr:nvSpPr>
      <xdr:spPr>
        <a:xfrm>
          <a:off x="3559969" y="1178719"/>
          <a:ext cx="2631281" cy="40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Average of Close</a:t>
          </a:r>
        </a:p>
      </xdr:txBody>
    </xdr:sp>
    <xdr:clientData/>
  </xdr:twoCellAnchor>
  <xdr:twoCellAnchor>
    <xdr:from>
      <xdr:col>12</xdr:col>
      <xdr:colOff>130969</xdr:colOff>
      <xdr:row>4</xdr:row>
      <xdr:rowOff>47624</xdr:rowOff>
    </xdr:from>
    <xdr:to>
      <xdr:col>16</xdr:col>
      <xdr:colOff>107156</xdr:colOff>
      <xdr:row>6</xdr:row>
      <xdr:rowOff>83343</xdr:rowOff>
    </xdr:to>
    <xdr:sp macro="" textlink="">
      <xdr:nvSpPr>
        <xdr:cNvPr id="23" name="TextBox 22">
          <a:extLst>
            <a:ext uri="{FF2B5EF4-FFF2-40B4-BE49-F238E27FC236}">
              <a16:creationId xmlns:a16="http://schemas.microsoft.com/office/drawing/2014/main" id="{83712D7B-347D-C770-77CD-FFA77368D180}"/>
            </a:ext>
          </a:extLst>
        </xdr:cNvPr>
        <xdr:cNvSpPr txBox="1"/>
      </xdr:nvSpPr>
      <xdr:spPr>
        <a:xfrm>
          <a:off x="7417594" y="1214437"/>
          <a:ext cx="2405062"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Max. of High</a:t>
          </a:r>
        </a:p>
      </xdr:txBody>
    </xdr:sp>
    <xdr:clientData/>
  </xdr:twoCellAnchor>
  <xdr:twoCellAnchor>
    <xdr:from>
      <xdr:col>18</xdr:col>
      <xdr:colOff>130968</xdr:colOff>
      <xdr:row>4</xdr:row>
      <xdr:rowOff>59532</xdr:rowOff>
    </xdr:from>
    <xdr:to>
      <xdr:col>22</xdr:col>
      <xdr:colOff>95250</xdr:colOff>
      <xdr:row>6</xdr:row>
      <xdr:rowOff>119062</xdr:rowOff>
    </xdr:to>
    <xdr:sp macro="" textlink="">
      <xdr:nvSpPr>
        <xdr:cNvPr id="24" name="TextBox 23">
          <a:extLst>
            <a:ext uri="{FF2B5EF4-FFF2-40B4-BE49-F238E27FC236}">
              <a16:creationId xmlns:a16="http://schemas.microsoft.com/office/drawing/2014/main" id="{97A07249-9171-A100-E4ED-5B608D25EB8E}"/>
            </a:ext>
          </a:extLst>
        </xdr:cNvPr>
        <xdr:cNvSpPr txBox="1"/>
      </xdr:nvSpPr>
      <xdr:spPr>
        <a:xfrm>
          <a:off x="11060906" y="1226345"/>
          <a:ext cx="2393157" cy="44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Min. of Low</a:t>
          </a:r>
        </a:p>
      </xdr:txBody>
    </xdr:sp>
    <xdr:clientData/>
  </xdr:twoCellAnchor>
  <xdr:twoCellAnchor>
    <xdr:from>
      <xdr:col>24</xdr:col>
      <xdr:colOff>130968</xdr:colOff>
      <xdr:row>4</xdr:row>
      <xdr:rowOff>47624</xdr:rowOff>
    </xdr:from>
    <xdr:to>
      <xdr:col>28</xdr:col>
      <xdr:colOff>11906</xdr:colOff>
      <xdr:row>6</xdr:row>
      <xdr:rowOff>130968</xdr:rowOff>
    </xdr:to>
    <xdr:sp macro="" textlink="">
      <xdr:nvSpPr>
        <xdr:cNvPr id="25" name="TextBox 24">
          <a:extLst>
            <a:ext uri="{FF2B5EF4-FFF2-40B4-BE49-F238E27FC236}">
              <a16:creationId xmlns:a16="http://schemas.microsoft.com/office/drawing/2014/main" id="{C4181597-B727-C3DE-6BAA-9A08C4649AFD}"/>
            </a:ext>
          </a:extLst>
        </xdr:cNvPr>
        <xdr:cNvSpPr txBox="1"/>
      </xdr:nvSpPr>
      <xdr:spPr>
        <a:xfrm>
          <a:off x="14704218" y="1214437"/>
          <a:ext cx="2309813" cy="46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Sum of Volume</a:t>
          </a:r>
        </a:p>
      </xdr:txBody>
    </xdr:sp>
    <xdr:clientData/>
  </xdr:twoCellAnchor>
  <xdr:twoCellAnchor>
    <xdr:from>
      <xdr:col>29</xdr:col>
      <xdr:colOff>595312</xdr:colOff>
      <xdr:row>4</xdr:row>
      <xdr:rowOff>71437</xdr:rowOff>
    </xdr:from>
    <xdr:to>
      <xdr:col>35</xdr:col>
      <xdr:colOff>369094</xdr:colOff>
      <xdr:row>6</xdr:row>
      <xdr:rowOff>178593</xdr:rowOff>
    </xdr:to>
    <xdr:sp macro="" textlink="">
      <xdr:nvSpPr>
        <xdr:cNvPr id="26" name="TextBox 25">
          <a:extLst>
            <a:ext uri="{FF2B5EF4-FFF2-40B4-BE49-F238E27FC236}">
              <a16:creationId xmlns:a16="http://schemas.microsoft.com/office/drawing/2014/main" id="{8E29869B-DBE9-D50E-0634-F6DDD051195E}"/>
            </a:ext>
          </a:extLst>
        </xdr:cNvPr>
        <xdr:cNvSpPr txBox="1"/>
      </xdr:nvSpPr>
      <xdr:spPr>
        <a:xfrm>
          <a:off x="18204656" y="1238250"/>
          <a:ext cx="3417094" cy="488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Average of Daily Return %</a:t>
          </a:r>
        </a:p>
      </xdr:txBody>
    </xdr:sp>
    <xdr:clientData/>
  </xdr:twoCellAnchor>
  <xdr:twoCellAnchor>
    <xdr:from>
      <xdr:col>5</xdr:col>
      <xdr:colOff>547687</xdr:colOff>
      <xdr:row>6</xdr:row>
      <xdr:rowOff>142873</xdr:rowOff>
    </xdr:from>
    <xdr:to>
      <xdr:col>10</xdr:col>
      <xdr:colOff>107156</xdr:colOff>
      <xdr:row>9</xdr:row>
      <xdr:rowOff>35718</xdr:rowOff>
    </xdr:to>
    <xdr:sp macro="" textlink="Kpi!A8">
      <xdr:nvSpPr>
        <xdr:cNvPr id="27" name="TextBox 26">
          <a:extLst>
            <a:ext uri="{FF2B5EF4-FFF2-40B4-BE49-F238E27FC236}">
              <a16:creationId xmlns:a16="http://schemas.microsoft.com/office/drawing/2014/main" id="{85DF29BA-762F-0BFF-B432-68F5DDCD6205}"/>
            </a:ext>
          </a:extLst>
        </xdr:cNvPr>
        <xdr:cNvSpPr txBox="1"/>
      </xdr:nvSpPr>
      <xdr:spPr>
        <a:xfrm>
          <a:off x="3583781" y="1690686"/>
          <a:ext cx="2595563" cy="464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ED7DD8-7157-4CD2-8280-EE771FA59328}" type="TxLink">
            <a:rPr lang="en-US" sz="2800" b="0" i="0" u="none" strike="noStrike">
              <a:solidFill>
                <a:srgbClr val="000000"/>
              </a:solidFill>
              <a:latin typeface="Aptos Narrow"/>
            </a:rPr>
            <a:pPr algn="ctr"/>
            <a:t>₹ 402.13</a:t>
          </a:fld>
          <a:endParaRPr lang="en-IN" sz="2800"/>
        </a:p>
      </xdr:txBody>
    </xdr:sp>
    <xdr:clientData/>
  </xdr:twoCellAnchor>
  <xdr:twoCellAnchor>
    <xdr:from>
      <xdr:col>12</xdr:col>
      <xdr:colOff>119063</xdr:colOff>
      <xdr:row>7</xdr:row>
      <xdr:rowOff>47625</xdr:rowOff>
    </xdr:from>
    <xdr:to>
      <xdr:col>16</xdr:col>
      <xdr:colOff>83344</xdr:colOff>
      <xdr:row>9</xdr:row>
      <xdr:rowOff>166686</xdr:rowOff>
    </xdr:to>
    <xdr:sp macro="" textlink="Kpi!B8">
      <xdr:nvSpPr>
        <xdr:cNvPr id="28" name="TextBox 27">
          <a:extLst>
            <a:ext uri="{FF2B5EF4-FFF2-40B4-BE49-F238E27FC236}">
              <a16:creationId xmlns:a16="http://schemas.microsoft.com/office/drawing/2014/main" id="{69437390-7D40-A2DE-135A-9FA83C8D7666}"/>
            </a:ext>
          </a:extLst>
        </xdr:cNvPr>
        <xdr:cNvSpPr txBox="1"/>
      </xdr:nvSpPr>
      <xdr:spPr>
        <a:xfrm>
          <a:off x="7405688" y="1785938"/>
          <a:ext cx="2393156" cy="500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87CFE9-DB77-44AF-A3FD-344BAD261DBC}" type="TxLink">
            <a:rPr lang="en-US" sz="2800" b="0" i="0" u="none" strike="noStrike">
              <a:solidFill>
                <a:srgbClr val="000000"/>
              </a:solidFill>
              <a:latin typeface="Aptos Narrow"/>
            </a:rPr>
            <a:pPr algn="ctr"/>
            <a:t>₹ 700.99</a:t>
          </a:fld>
          <a:endParaRPr lang="en-IN" sz="2800"/>
        </a:p>
      </xdr:txBody>
    </xdr:sp>
    <xdr:clientData/>
  </xdr:twoCellAnchor>
  <xdr:twoCellAnchor>
    <xdr:from>
      <xdr:col>18</xdr:col>
      <xdr:colOff>166687</xdr:colOff>
      <xdr:row>7</xdr:row>
      <xdr:rowOff>35717</xdr:rowOff>
    </xdr:from>
    <xdr:to>
      <xdr:col>22</xdr:col>
      <xdr:colOff>130968</xdr:colOff>
      <xdr:row>9</xdr:row>
      <xdr:rowOff>130968</xdr:rowOff>
    </xdr:to>
    <xdr:sp macro="" textlink="Kpi!C8">
      <xdr:nvSpPr>
        <xdr:cNvPr id="31" name="TextBox 30">
          <a:extLst>
            <a:ext uri="{FF2B5EF4-FFF2-40B4-BE49-F238E27FC236}">
              <a16:creationId xmlns:a16="http://schemas.microsoft.com/office/drawing/2014/main" id="{AD52B26C-BA53-011D-757C-2BA7C254670F}"/>
            </a:ext>
          </a:extLst>
        </xdr:cNvPr>
        <xdr:cNvSpPr txBox="1"/>
      </xdr:nvSpPr>
      <xdr:spPr>
        <a:xfrm>
          <a:off x="11096625" y="1774030"/>
          <a:ext cx="2393156"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E87C20-AB6C-4CAA-9A81-EA86241B01FC}" type="TxLink">
            <a:rPr lang="en-US" sz="2800" b="0" i="0" u="none" strike="noStrike">
              <a:solidFill>
                <a:srgbClr val="000000"/>
              </a:solidFill>
              <a:latin typeface="Aptos Narrow"/>
            </a:rPr>
            <a:pPr algn="ctr"/>
            <a:t>₹ 162.71</a:t>
          </a:fld>
          <a:endParaRPr lang="en-IN" sz="2800"/>
        </a:p>
      </xdr:txBody>
    </xdr:sp>
    <xdr:clientData/>
  </xdr:twoCellAnchor>
  <xdr:twoCellAnchor>
    <xdr:from>
      <xdr:col>24</xdr:col>
      <xdr:colOff>226219</xdr:colOff>
      <xdr:row>7</xdr:row>
      <xdr:rowOff>119062</xdr:rowOff>
    </xdr:from>
    <xdr:to>
      <xdr:col>28</xdr:col>
      <xdr:colOff>130969</xdr:colOff>
      <xdr:row>10</xdr:row>
      <xdr:rowOff>11906</xdr:rowOff>
    </xdr:to>
    <xdr:sp macro="" textlink="Kpi!D8">
      <xdr:nvSpPr>
        <xdr:cNvPr id="32" name="TextBox 31">
          <a:extLst>
            <a:ext uri="{FF2B5EF4-FFF2-40B4-BE49-F238E27FC236}">
              <a16:creationId xmlns:a16="http://schemas.microsoft.com/office/drawing/2014/main" id="{99395443-25FF-D380-6EDF-4F2EDD27BFFB}"/>
            </a:ext>
          </a:extLst>
        </xdr:cNvPr>
        <xdr:cNvSpPr txBox="1"/>
      </xdr:nvSpPr>
      <xdr:spPr>
        <a:xfrm>
          <a:off x="14799469" y="1857375"/>
          <a:ext cx="2333625" cy="464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046CBF-E74B-4279-86C4-138DF0DBC596}" type="TxLink">
            <a:rPr lang="en-US" sz="2800" b="0" i="0" u="none" strike="noStrike">
              <a:solidFill>
                <a:srgbClr val="000000"/>
              </a:solidFill>
              <a:latin typeface="Aptos Narrow"/>
            </a:rPr>
            <a:pPr algn="ctr"/>
            <a:t>8.99B</a:t>
          </a:fld>
          <a:endParaRPr lang="en-IN" sz="2800"/>
        </a:p>
      </xdr:txBody>
    </xdr:sp>
    <xdr:clientData/>
  </xdr:twoCellAnchor>
  <xdr:twoCellAnchor>
    <xdr:from>
      <xdr:col>29</xdr:col>
      <xdr:colOff>595312</xdr:colOff>
      <xdr:row>7</xdr:row>
      <xdr:rowOff>107156</xdr:rowOff>
    </xdr:from>
    <xdr:to>
      <xdr:col>35</xdr:col>
      <xdr:colOff>369094</xdr:colOff>
      <xdr:row>9</xdr:row>
      <xdr:rowOff>178594</xdr:rowOff>
    </xdr:to>
    <xdr:sp macro="" textlink="Kpi!E8">
      <xdr:nvSpPr>
        <xdr:cNvPr id="33" name="TextBox 32">
          <a:extLst>
            <a:ext uri="{FF2B5EF4-FFF2-40B4-BE49-F238E27FC236}">
              <a16:creationId xmlns:a16="http://schemas.microsoft.com/office/drawing/2014/main" id="{6729B3B3-52C5-5867-3F2B-298A9E0B5198}"/>
            </a:ext>
          </a:extLst>
        </xdr:cNvPr>
        <xdr:cNvSpPr txBox="1"/>
      </xdr:nvSpPr>
      <xdr:spPr>
        <a:xfrm>
          <a:off x="18204656" y="1845469"/>
          <a:ext cx="3417094" cy="452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64A3D3-8534-4D58-A088-79551C8AEEE7}" type="TxLink">
            <a:rPr lang="en-US" sz="2800" b="0" i="0" u="none" strike="noStrike">
              <a:solidFill>
                <a:srgbClr val="000000"/>
              </a:solidFill>
              <a:latin typeface="Aptos Narrow"/>
            </a:rPr>
            <a:pPr algn="ctr"/>
            <a:t>0.02%</a:t>
          </a:fld>
          <a:endParaRPr lang="en-IN" sz="2800"/>
        </a:p>
      </xdr:txBody>
    </xdr:sp>
    <xdr:clientData/>
  </xdr:twoCellAnchor>
  <xdr:twoCellAnchor editAs="oneCell">
    <xdr:from>
      <xdr:col>0</xdr:col>
      <xdr:colOff>297657</xdr:colOff>
      <xdr:row>20</xdr:row>
      <xdr:rowOff>116681</xdr:rowOff>
    </xdr:from>
    <xdr:to>
      <xdr:col>3</xdr:col>
      <xdr:colOff>304801</xdr:colOff>
      <xdr:row>29</xdr:row>
      <xdr:rowOff>154781</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5C29ED46-0525-97C4-686B-AA2CCC9DD88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97657" y="4331494"/>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321469</xdr:colOff>
      <xdr:row>30</xdr:row>
      <xdr:rowOff>176213</xdr:rowOff>
    </xdr:from>
    <xdr:to>
      <xdr:col>3</xdr:col>
      <xdr:colOff>328613</xdr:colOff>
      <xdr:row>39</xdr:row>
      <xdr:rowOff>35718</xdr:rowOff>
    </xdr:to>
    <mc:AlternateContent xmlns:mc="http://schemas.openxmlformats.org/markup-compatibility/2006" xmlns:a14="http://schemas.microsoft.com/office/drawing/2010/main">
      <mc:Choice Requires="a14">
        <xdr:graphicFrame macro="">
          <xdr:nvGraphicFramePr>
            <xdr:cNvPr id="16" name="Quarters (date)">
              <a:extLst>
                <a:ext uri="{FF2B5EF4-FFF2-40B4-BE49-F238E27FC236}">
                  <a16:creationId xmlns:a16="http://schemas.microsoft.com/office/drawing/2014/main" id="{F9AA3C7A-E03E-1248-0ED5-EAF221BB2F86}"/>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321469" y="6296026"/>
              <a:ext cx="1828800" cy="1574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309562</xdr:colOff>
      <xdr:row>9</xdr:row>
      <xdr:rowOff>176210</xdr:rowOff>
    </xdr:from>
    <xdr:to>
      <xdr:col>3</xdr:col>
      <xdr:colOff>316706</xdr:colOff>
      <xdr:row>19</xdr:row>
      <xdr:rowOff>130966</xdr:rowOff>
    </xdr:to>
    <mc:AlternateContent xmlns:mc="http://schemas.openxmlformats.org/markup-compatibility/2006" xmlns:a14="http://schemas.microsoft.com/office/drawing/2010/main">
      <mc:Choice Requires="a14">
        <xdr:graphicFrame macro="">
          <xdr:nvGraphicFramePr>
            <xdr:cNvPr id="21" name="Years (date) 1">
              <a:extLst>
                <a:ext uri="{FF2B5EF4-FFF2-40B4-BE49-F238E27FC236}">
                  <a16:creationId xmlns:a16="http://schemas.microsoft.com/office/drawing/2014/main" id="{05539756-0216-6AAD-9694-3F0FC1FF882B}"/>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309562" y="2295523"/>
              <a:ext cx="1828800" cy="1859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333376</xdr:colOff>
      <xdr:row>20</xdr:row>
      <xdr:rowOff>116681</xdr:rowOff>
    </xdr:from>
    <xdr:to>
      <xdr:col>3</xdr:col>
      <xdr:colOff>340520</xdr:colOff>
      <xdr:row>29</xdr:row>
      <xdr:rowOff>154781</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3498BE43-DDBC-8F0E-7D5C-5CAA94F28D4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33376" y="4331494"/>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357188</xdr:colOff>
      <xdr:row>30</xdr:row>
      <xdr:rowOff>176213</xdr:rowOff>
    </xdr:from>
    <xdr:to>
      <xdr:col>3</xdr:col>
      <xdr:colOff>364332</xdr:colOff>
      <xdr:row>39</xdr:row>
      <xdr:rowOff>35718</xdr:rowOff>
    </xdr:to>
    <mc:AlternateContent xmlns:mc="http://schemas.openxmlformats.org/markup-compatibility/2006" xmlns:a14="http://schemas.microsoft.com/office/drawing/2010/main">
      <mc:Choice Requires="a14">
        <xdr:graphicFrame macro="">
          <xdr:nvGraphicFramePr>
            <xdr:cNvPr id="29" name="Quarters (date) 1">
              <a:extLst>
                <a:ext uri="{FF2B5EF4-FFF2-40B4-BE49-F238E27FC236}">
                  <a16:creationId xmlns:a16="http://schemas.microsoft.com/office/drawing/2014/main" id="{9B28EABA-96C2-63EE-2A7B-F7B5AFBA8F22}"/>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mlns="">
        <xdr:sp macro="" textlink="">
          <xdr:nvSpPr>
            <xdr:cNvPr id="0" name=""/>
            <xdr:cNvSpPr>
              <a:spLocks noTextEdit="1"/>
            </xdr:cNvSpPr>
          </xdr:nvSpPr>
          <xdr:spPr>
            <a:xfrm>
              <a:off x="357188" y="6296026"/>
              <a:ext cx="1828800" cy="1574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345281</xdr:colOff>
      <xdr:row>9</xdr:row>
      <xdr:rowOff>176210</xdr:rowOff>
    </xdr:from>
    <xdr:to>
      <xdr:col>3</xdr:col>
      <xdr:colOff>352425</xdr:colOff>
      <xdr:row>19</xdr:row>
      <xdr:rowOff>130966</xdr:rowOff>
    </xdr:to>
    <mc:AlternateContent xmlns:mc="http://schemas.openxmlformats.org/markup-compatibility/2006" xmlns:a14="http://schemas.microsoft.com/office/drawing/2010/main">
      <mc:Choice Requires="a14">
        <xdr:graphicFrame macro="">
          <xdr:nvGraphicFramePr>
            <xdr:cNvPr id="30" name="Years (date) 2">
              <a:extLst>
                <a:ext uri="{FF2B5EF4-FFF2-40B4-BE49-F238E27FC236}">
                  <a16:creationId xmlns:a16="http://schemas.microsoft.com/office/drawing/2014/main" id="{B123E1B6-4449-E4F8-94FB-245B8D2ED66F}"/>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345281" y="2295523"/>
              <a:ext cx="1828800" cy="1859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447675</xdr:colOff>
      <xdr:row>11</xdr:row>
      <xdr:rowOff>9525</xdr:rowOff>
    </xdr:from>
    <xdr:to>
      <xdr:col>12</xdr:col>
      <xdr:colOff>447675</xdr:colOff>
      <xdr:row>20</xdr:row>
      <xdr:rowOff>133350</xdr:rowOff>
    </xdr:to>
    <mc:AlternateContent xmlns:mc="http://schemas.openxmlformats.org/markup-compatibility/2006" xmlns:a14="http://schemas.microsoft.com/office/drawing/2010/main">
      <mc:Choice Requires="a14">
        <xdr:graphicFrame macro="">
          <xdr:nvGraphicFramePr>
            <xdr:cNvPr id="4" name="Years (date)">
              <a:extLst>
                <a:ext uri="{FF2B5EF4-FFF2-40B4-BE49-F238E27FC236}">
                  <a16:creationId xmlns:a16="http://schemas.microsoft.com/office/drawing/2014/main" id="{1D8516BF-A9C3-5429-5022-62E1FB682D7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8124825" y="2105025"/>
              <a:ext cx="1828800"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refreshedDate="46149.436487037034" createdVersion="8" refreshedVersion="8" minRefreshableVersion="3" recordCount="1137" xr:uid="{D5586359-8C02-41C5-B371-E988B0C3C265}">
  <cacheSource type="worksheet">
    <worksheetSource name="Table1"/>
  </cacheSource>
  <cacheFields count="17">
    <cacheField name="date" numFmtId="14">
      <sharedItems containsSemiMixedTypes="0" containsNonDate="0" containsDate="1" containsString="0" minDate="2018-01-02T00:00:00" maxDate="2022-07-09T00:00:00" count="1137">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sharedItems>
      <fieldGroup par="16"/>
    </cacheField>
    <cacheField name="Year" numFmtId="14">
      <sharedItems containsSemiMixedTypes="0" containsNonDate="0" containsDate="1" containsString="0" minDate="1905-07-10T00:00:00" maxDate="1905-07-15T00:00:00"/>
    </cacheField>
    <cacheField name="Month" numFmtId="14">
      <sharedItems count="12">
        <s v="Jan"/>
        <s v="Feb"/>
        <s v="Mar"/>
        <s v="Apr"/>
        <s v="May"/>
        <s v="Jun"/>
        <s v="Jul"/>
        <s v="Aug"/>
        <s v="Sep"/>
        <s v="Oct"/>
        <s v="Nov"/>
        <s v="Dec"/>
      </sharedItems>
    </cacheField>
    <cacheField name="Open" numFmtId="0">
      <sharedItems containsSemiMixedTypes="0" containsString="0" containsNumber="1" minValue="163.96000699999999" maxValue="692.34997599999997"/>
    </cacheField>
    <cacheField name="High" numFmtId="0">
      <sharedItems containsSemiMixedTypes="0" containsString="0" containsNumber="1" minValue="172.05999800000001" maxValue="700.98999000000003"/>
    </cacheField>
    <cacheField name="Low" numFmtId="0">
      <sharedItems containsSemiMixedTypes="0" containsString="0" containsNumber="1" minValue="162.71000699999999" maxValue="686.09002699999996"/>
    </cacheField>
    <cacheField name="Close" numFmtId="0">
      <sharedItems containsSemiMixedTypes="0" containsString="0" containsNumber="1" minValue="166.36999499999999" maxValue="691.69000200000005"/>
    </cacheField>
    <cacheField name="Adj Close" numFmtId="0">
      <sharedItems containsSemiMixedTypes="0" containsString="0" containsNumber="1" minValue="166.36999499999999" maxValue="691.69000200000005"/>
    </cacheField>
    <cacheField name="Price Change" numFmtId="0">
      <sharedItems containsSemiMixedTypes="0" containsString="0" containsNumber="1" minValue="-42.479979999999955" maxValue="55.030029000000013"/>
    </cacheField>
    <cacheField name="Volume" numFmtId="0">
      <sharedItems containsSemiMixedTypes="0" containsString="0" containsNumber="1" containsInteger="1" minValue="1144000" maxValue="133387500"/>
    </cacheField>
    <cacheField name="P_mean" numFmtId="0">
      <sharedItems containsSemiMixedTypes="0" containsString="0" containsNumber="1" minValue="-0.25806451612903197" maxValue="7.5630252100840303E-2"/>
    </cacheField>
    <cacheField name="P_sum" numFmtId="0">
      <sharedItems containsSemiMixedTypes="0" containsString="0" containsNumber="1" containsInteger="1" minValue="-3034" maxValue="110"/>
    </cacheField>
    <cacheField name="Daily Return %" numFmtId="0">
      <sharedItems containsSemiMixedTypes="0" containsString="0" containsNumber="1" minValue="-9.1639617466111642E-2" maxValue="0.11173609949238582"/>
    </cacheField>
    <cacheField name="twt_count" numFmtId="0">
      <sharedItems containsSemiMixedTypes="0" containsString="0" containsNumber="1" containsInteger="1" minValue="156" maxValue="12404"/>
    </cacheField>
    <cacheField name="Months (date)" numFmtId="0" databaseField="0">
      <fieldGroup base="0">
        <rangePr groupBy="months" startDate="2018-01-02T00:00:00" endDate="2022-07-09T00:00:00"/>
        <groupItems count="14">
          <s v="&lt;02-01-2018"/>
          <s v="Jan"/>
          <s v="Feb"/>
          <s v="Mar"/>
          <s v="Apr"/>
          <s v="May"/>
          <s v="Jun"/>
          <s v="Jul"/>
          <s v="Aug"/>
          <s v="Sep"/>
          <s v="Oct"/>
          <s v="Nov"/>
          <s v="Dec"/>
          <s v="&gt;09-07-2022"/>
        </groupItems>
      </fieldGroup>
    </cacheField>
    <cacheField name="Quarters (date)" numFmtId="0" databaseField="0">
      <fieldGroup base="0">
        <rangePr groupBy="quarters" startDate="2018-01-02T00:00:00" endDate="2022-07-09T00:00:00"/>
        <groupItems count="6">
          <s v="&lt;02-01-2018"/>
          <s v="Qtr1"/>
          <s v="Qtr2"/>
          <s v="Qtr3"/>
          <s v="Qtr4"/>
          <s v="&gt;09-07-2022"/>
        </groupItems>
      </fieldGroup>
    </cacheField>
    <cacheField name="Years (date)" numFmtId="0" databaseField="0">
      <fieldGroup base="0">
        <rangePr groupBy="years" startDate="2018-01-02T00:00:00" endDate="2022-07-09T00:00:00"/>
        <groupItems count="7">
          <s v="&lt;02-01-2018"/>
          <s v="2018"/>
          <s v="2019"/>
          <s v="2020"/>
          <s v="2021"/>
          <s v="2022"/>
          <s v="&gt;09-07-2022"/>
        </groupItems>
      </fieldGroup>
    </cacheField>
  </cacheFields>
  <extLst>
    <ext xmlns:x14="http://schemas.microsoft.com/office/spreadsheetml/2009/9/main" uri="{725AE2AE-9491-48be-B2B4-4EB974FC3084}">
      <x14:pivotCacheDefinition pivotCacheId="1899423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7">
  <r>
    <x v="0"/>
    <d v="1905-07-10T00:00:00"/>
    <x v="0"/>
    <n v="196.10000600000001"/>
    <n v="201.64999399999999"/>
    <n v="195.41999799999999"/>
    <n v="201.070007"/>
    <n v="201.070007"/>
    <n v="4.9700009999999963"/>
    <n v="10966900"/>
    <n v="2.0833333333333301E-2"/>
    <n v="10"/>
    <n v="2.5344216460656283E-2"/>
    <n v="480"/>
  </r>
  <r>
    <x v="1"/>
    <d v="1905-07-10T00:00:00"/>
    <x v="0"/>
    <n v="202.050003"/>
    <n v="206.21000699999999"/>
    <n v="201.5"/>
    <n v="205.050003"/>
    <n v="205.050003"/>
    <n v="3"/>
    <n v="8591400"/>
    <n v="7.1216617210682495E-2"/>
    <n v="24"/>
    <n v="1.4847809727575208E-2"/>
    <n v="337"/>
  </r>
  <r>
    <x v="2"/>
    <d v="1905-07-10T00:00:00"/>
    <x v="0"/>
    <n v="206.199997"/>
    <n v="207.050003"/>
    <n v="204"/>
    <n v="205.63000500000001"/>
    <n v="205.63000500000001"/>
    <n v="-0.56999199999998496"/>
    <n v="6029600"/>
    <n v="-1.85185185185185E-2"/>
    <n v="-4"/>
    <n v="-2.7642677414781193E-3"/>
    <n v="216"/>
  </r>
  <r>
    <x v="3"/>
    <d v="1905-07-10T00:00:00"/>
    <x v="0"/>
    <n v="207.25"/>
    <n v="210.020004"/>
    <n v="205.58999600000001"/>
    <n v="209.990005"/>
    <n v="209.990005"/>
    <n v="2.7400049999999965"/>
    <n v="7033200"/>
    <n v="-1.9736842105263101E-2"/>
    <n v="-6"/>
    <n v="1.3220772014475255E-2"/>
    <n v="304"/>
  </r>
  <r>
    <x v="4"/>
    <d v="1905-07-10T00:00:00"/>
    <x v="0"/>
    <n v="210.020004"/>
    <n v="212.5"/>
    <n v="208.44000199999999"/>
    <n v="212.050003"/>
    <n v="212.050003"/>
    <n v="2.0299990000000037"/>
    <n v="5580200"/>
    <n v="-7.6628352490421001E-3"/>
    <n v="-2"/>
    <n v="9.6657411738741029E-3"/>
    <n v="261"/>
  </r>
  <r>
    <x v="5"/>
    <d v="1905-07-10T00:00:00"/>
    <x v="0"/>
    <n v="212.11000100000001"/>
    <n v="212.979996"/>
    <n v="208.58999600000001"/>
    <n v="209.30999800000001"/>
    <n v="209.30999800000001"/>
    <n v="-2.8000030000000038"/>
    <n v="6125900"/>
    <n v="-2.5210084033613401E-2"/>
    <n v="-6"/>
    <n v="-1.3200711832536381E-2"/>
    <n v="238"/>
  </r>
  <r>
    <x v="6"/>
    <d v="1905-07-10T00:00:00"/>
    <x v="0"/>
    <n v="207.570007"/>
    <n v="213.63999899999999"/>
    <n v="206.91000399999999"/>
    <n v="212.520004"/>
    <n v="212.520004"/>
    <n v="4.9499969999999962"/>
    <n v="5951500"/>
    <n v="-2.6119402985074602E-2"/>
    <n v="-7"/>
    <n v="2.3847361531379608E-2"/>
    <n v="268"/>
  </r>
  <r>
    <x v="7"/>
    <d v="1905-07-10T00:00:00"/>
    <x v="0"/>
    <n v="214.28999300000001"/>
    <n v="217.75"/>
    <n v="213.35000600000001"/>
    <n v="217.240005"/>
    <n v="217.240005"/>
    <n v="2.9500119999999868"/>
    <n v="7659500"/>
    <n v="0"/>
    <n v="0"/>
    <n v="1.3766447787414817E-2"/>
    <n v="370"/>
  </r>
  <r>
    <x v="8"/>
    <d v="1905-07-10T00:00:00"/>
    <x v="0"/>
    <n v="217.179993"/>
    <n v="222.550003"/>
    <n v="216"/>
    <n v="221.229996"/>
    <n v="221.229996"/>
    <n v="4.0500030000000038"/>
    <n v="8199400"/>
    <n v="-3.1250000000000002E-3"/>
    <n v="-1"/>
    <n v="1.8648140392932069E-2"/>
    <n v="320"/>
  </r>
  <r>
    <x v="9"/>
    <d v="1905-07-10T00:00:00"/>
    <x v="0"/>
    <n v="224.240005"/>
    <n v="226.070007"/>
    <n v="217.199997"/>
    <n v="221.529999"/>
    <n v="221.529999"/>
    <n v="-2.7100059999999928"/>
    <n v="13516100"/>
    <n v="9.6774193548386997E-3"/>
    <n v="3"/>
    <n v="-1.2085292274230875E-2"/>
    <n v="310"/>
  </r>
  <r>
    <x v="10"/>
    <d v="1905-07-10T00:00:00"/>
    <x v="0"/>
    <n v="221"/>
    <n v="221.14999399999999"/>
    <n v="216.320007"/>
    <n v="217.5"/>
    <n v="217.5"/>
    <n v="-3.5"/>
    <n v="9123100"/>
    <n v="3.2573289902280002E-3"/>
    <n v="1"/>
    <n v="-1.5837104072398189E-2"/>
    <n v="307"/>
  </r>
  <r>
    <x v="11"/>
    <d v="1905-07-10T00:00:00"/>
    <x v="0"/>
    <n v="220.33999600000001"/>
    <n v="220.58000200000001"/>
    <n v="216.550003"/>
    <n v="220.33000200000001"/>
    <n v="220.33000200000001"/>
    <n v="-9.9940000000060536E-3"/>
    <n v="8225300"/>
    <n v="-4.0404040404040401E-2"/>
    <n v="-12"/>
    <n v="-4.5357176098006524E-5"/>
    <n v="297"/>
  </r>
  <r>
    <x v="12"/>
    <d v="1905-07-10T00:00:00"/>
    <x v="0"/>
    <n v="222.75"/>
    <n v="223.490005"/>
    <n v="218.5"/>
    <n v="220.46000699999999"/>
    <n v="220.46000699999999"/>
    <n v="-2.2899930000000097"/>
    <n v="10548600"/>
    <n v="-7.0121951219512202E-2"/>
    <n v="-23"/>
    <n v="-1.0280552188552233E-2"/>
    <n v="328"/>
  </r>
  <r>
    <x v="13"/>
    <d v="1905-07-10T00:00:00"/>
    <x v="0"/>
    <n v="222"/>
    <n v="227.78999300000001"/>
    <n v="221.199997"/>
    <n v="227.58000200000001"/>
    <n v="227.58000200000001"/>
    <n v="5.5800020000000075"/>
    <n v="17703300"/>
    <n v="-4.2660882140274699E-2"/>
    <n v="-59"/>
    <n v="2.5135144144144177E-2"/>
    <n v="1383"/>
  </r>
  <r>
    <x v="14"/>
    <d v="1905-07-10T00:00:00"/>
    <x v="0"/>
    <n v="255.050003"/>
    <n v="257.709991"/>
    <n v="248.020004"/>
    <n v="250.28999300000001"/>
    <n v="250.28999300000001"/>
    <n v="-4.7600099999999941"/>
    <n v="27705300"/>
    <n v="-6.1196105702364299E-2"/>
    <n v="-88"/>
    <n v="-1.8663046241955913E-2"/>
    <n v="1438"/>
  </r>
  <r>
    <x v="15"/>
    <d v="1905-07-10T00:00:00"/>
    <x v="0"/>
    <n v="250.88000500000001"/>
    <n v="261.709991"/>
    <n v="249.30999800000001"/>
    <n v="261.29998799999998"/>
    <n v="261.29998799999998"/>
    <n v="10.419982999999974"/>
    <n v="17352400"/>
    <n v="-8.4525357607282095E-2"/>
    <n v="-65"/>
    <n v="4.1533732431167536E-2"/>
    <n v="769"/>
  </r>
  <r>
    <x v="16"/>
    <d v="1905-07-10T00:00:00"/>
    <x v="0"/>
    <n v="263"/>
    <n v="272.29998799999998"/>
    <n v="260.23001099999999"/>
    <n v="269.70001200000002"/>
    <n v="269.70001200000002"/>
    <n v="6.7000120000000152"/>
    <n v="15336400"/>
    <n v="-0.122743682310469"/>
    <n v="-102"/>
    <n v="2.5475330798479145E-2"/>
    <n v="831"/>
  </r>
  <r>
    <x v="17"/>
    <d v="1905-07-10T00:00:00"/>
    <x v="0"/>
    <n v="271.48998999999998"/>
    <n v="274.60000600000001"/>
    <n v="268.76001000000002"/>
    <n v="274.60000600000001"/>
    <n v="274.60000600000001"/>
    <n v="3.1100160000000301"/>
    <n v="11021800"/>
    <n v="-0.118012422360248"/>
    <n v="-57"/>
    <n v="1.1455361577051258E-2"/>
    <n v="483"/>
  </r>
  <r>
    <x v="18"/>
    <d v="1905-07-10T00:00:00"/>
    <x v="0"/>
    <n v="274.20001200000002"/>
    <n v="286.80999800000001"/>
    <n v="273.92001299999998"/>
    <n v="284.58999599999999"/>
    <n v="284.58999599999999"/>
    <n v="10.38998399999997"/>
    <n v="17529700"/>
    <n v="-0.100689655172413"/>
    <n v="-73"/>
    <n v="3.78919895889719E-2"/>
    <n v="725"/>
  </r>
  <r>
    <x v="19"/>
    <d v="1905-07-10T00:00:00"/>
    <x v="0"/>
    <n v="277"/>
    <n v="282.73001099999999"/>
    <n v="272.70001200000002"/>
    <n v="278.79998799999998"/>
    <n v="278.79998799999998"/>
    <n v="1.7999879999999848"/>
    <n v="12482900"/>
    <n v="-0.14126984126984099"/>
    <n v="-89"/>
    <n v="6.4981516245486816E-3"/>
    <n v="630"/>
  </r>
  <r>
    <x v="20"/>
    <d v="1905-07-10T00:00:00"/>
    <x v="0"/>
    <n v="281.94000199999999"/>
    <n v="282.290009"/>
    <n v="269.57998700000002"/>
    <n v="270.29998799999998"/>
    <n v="270.29998799999998"/>
    <n v="-11.640014000000008"/>
    <n v="11695100"/>
    <n v="-0.167449139280125"/>
    <n v="-107"/>
    <n v="-4.1285429231145455E-2"/>
    <n v="639"/>
  </r>
  <r>
    <x v="21"/>
    <d v="1905-07-10T00:00:00"/>
    <x v="1"/>
    <n v="266.41000400000001"/>
    <n v="271.95001200000002"/>
    <n v="263.38000499999998"/>
    <n v="265.07000699999998"/>
    <n v="265.07000699999998"/>
    <n v="-1.3399970000000394"/>
    <n v="9669000"/>
    <n v="-0.15625"/>
    <n v="-55"/>
    <n v="-5.0298298858177989E-3"/>
    <n v="352"/>
  </r>
  <r>
    <x v="22"/>
    <d v="1905-07-10T00:00:00"/>
    <x v="1"/>
    <n v="263"/>
    <n v="270.61999500000002"/>
    <n v="262.709991"/>
    <n v="267.42999300000002"/>
    <n v="267.42999300000002"/>
    <n v="4.4299930000000245"/>
    <n v="9123600"/>
    <n v="-4.0462427745664699E-2"/>
    <n v="-14"/>
    <n v="1.6844079847908838E-2"/>
    <n v="346"/>
  </r>
  <r>
    <x v="23"/>
    <d v="1905-07-10T00:00:00"/>
    <x v="1"/>
    <n v="262"/>
    <n v="267.89999399999999"/>
    <n v="250.029999"/>
    <n v="254.259995"/>
    <n v="254.259995"/>
    <n v="-7.7400049999999965"/>
    <n v="11896100"/>
    <n v="-3.3112582781456901E-2"/>
    <n v="-10"/>
    <n v="-2.954200381679388E-2"/>
    <n v="302"/>
  </r>
  <r>
    <x v="24"/>
    <d v="1905-07-10T00:00:00"/>
    <x v="1"/>
    <n v="247.699997"/>
    <n v="266.70001200000002"/>
    <n v="245"/>
    <n v="265.72000100000002"/>
    <n v="265.72000100000002"/>
    <n v="18.020004000000029"/>
    <n v="12595800"/>
    <n v="-3.7151702786377701E-2"/>
    <n v="-12"/>
    <n v="7.274931052986662E-2"/>
    <n v="323"/>
  </r>
  <r>
    <x v="25"/>
    <d v="1905-07-10T00:00:00"/>
    <x v="1"/>
    <n v="266.57998700000002"/>
    <n v="272.45001200000002"/>
    <n v="264.32998700000002"/>
    <n v="264.55999800000001"/>
    <n v="264.55999800000001"/>
    <n v="-2.0199890000000096"/>
    <n v="8981500"/>
    <n v="-8.7412587412587395E-2"/>
    <n v="-25"/>
    <n v="-7.5774217814783273E-3"/>
    <n v="286"/>
  </r>
  <r>
    <x v="26"/>
    <d v="1905-07-10T00:00:00"/>
    <x v="1"/>
    <n v="267.07998700000002"/>
    <n v="267.61999500000002"/>
    <n v="250"/>
    <n v="250.10000600000001"/>
    <n v="250.10000600000001"/>
    <n v="-16.979981000000009"/>
    <n v="9306700"/>
    <n v="-0.10606060606060599"/>
    <n v="-28"/>
    <n v="-6.3576388447255716E-2"/>
    <n v="264"/>
  </r>
  <r>
    <x v="27"/>
    <d v="1905-07-10T00:00:00"/>
    <x v="1"/>
    <n v="253.85000600000001"/>
    <n v="255.800003"/>
    <n v="236.11000100000001"/>
    <n v="249.470001"/>
    <n v="249.470001"/>
    <n v="-4.3800050000000113"/>
    <n v="16906900"/>
    <n v="-1.8749999999999999E-2"/>
    <n v="-6"/>
    <n v="-1.7254303314848105E-2"/>
    <n v="320"/>
  </r>
  <r>
    <x v="28"/>
    <d v="1905-07-10T00:00:00"/>
    <x v="1"/>
    <n v="252.13999899999999"/>
    <n v="259.14999399999999"/>
    <n v="249"/>
    <n v="257.95001200000002"/>
    <n v="257.95001200000002"/>
    <n v="5.8100130000000263"/>
    <n v="8534900"/>
    <n v="1.34680134680134E-2"/>
    <n v="4"/>
    <n v="2.3042805675588293E-2"/>
    <n v="297"/>
  </r>
  <r>
    <x v="29"/>
    <d v="1905-07-10T00:00:00"/>
    <x v="1"/>
    <n v="257.290009"/>
    <n v="261.41000400000001"/>
    <n v="254.699997"/>
    <n v="258.26998900000001"/>
    <n v="258.26998900000001"/>
    <n v="0.97998000000001184"/>
    <n v="6855200"/>
    <n v="-2.74914089347079E-2"/>
    <n v="-8"/>
    <n v="3.8088536893012889E-3"/>
    <n v="291"/>
  </r>
  <r>
    <x v="30"/>
    <d v="1905-07-10T00:00:00"/>
    <x v="1"/>
    <n v="260.47000100000002"/>
    <n v="269.88000499999998"/>
    <n v="260.32998700000002"/>
    <n v="266"/>
    <n v="266"/>
    <n v="5.5299989999999752"/>
    <n v="10972000"/>
    <n v="-3.4090909090908998E-2"/>
    <n v="-15"/>
    <n v="2.1230848000802882E-2"/>
    <n v="440"/>
  </r>
  <r>
    <x v="31"/>
    <d v="1905-07-10T00:00:00"/>
    <x v="1"/>
    <n v="270.02999899999998"/>
    <n v="280.5"/>
    <n v="267.63000499999998"/>
    <n v="280.26998900000001"/>
    <n v="280.26998900000001"/>
    <n v="10.239990000000034"/>
    <n v="10759700"/>
    <n v="-1.78173719376391E-2"/>
    <n v="-8"/>
    <n v="3.7921675509838576E-2"/>
    <n v="449"/>
  </r>
  <r>
    <x v="32"/>
    <d v="1905-07-10T00:00:00"/>
    <x v="1"/>
    <n v="278.73001099999999"/>
    <n v="281.959991"/>
    <n v="275.69000199999999"/>
    <n v="278.51998900000001"/>
    <n v="278.51998900000001"/>
    <n v="-0.21002199999998084"/>
    <n v="8312400"/>
    <n v="-6.9069069069068997E-2"/>
    <n v="-23"/>
    <n v="-7.5349618523848458E-4"/>
    <n v="333"/>
  </r>
  <r>
    <x v="33"/>
    <d v="1905-07-10T00:00:00"/>
    <x v="1"/>
    <n v="277.73998999999998"/>
    <n v="285.80999800000001"/>
    <n v="276.60998499999999"/>
    <n v="278.54998799999998"/>
    <n v="278.54998799999998"/>
    <n v="0.80999800000000732"/>
    <n v="7769000"/>
    <n v="-2.7108433734939701E-2"/>
    <n v="-9"/>
    <n v="2.9163895339666692E-3"/>
    <n v="332"/>
  </r>
  <r>
    <x v="34"/>
    <d v="1905-07-10T00:00:00"/>
    <x v="1"/>
    <n v="282.07000699999998"/>
    <n v="286.64001500000001"/>
    <n v="280.01001000000002"/>
    <n v="281.040009"/>
    <n v="281.040009"/>
    <n v="-1.0299979999999778"/>
    <n v="9371100"/>
    <n v="-5.0113895216400903E-2"/>
    <n v="-22"/>
    <n v="-3.6515686689084169E-3"/>
    <n v="439"/>
  </r>
  <r>
    <x v="35"/>
    <d v="1905-07-10T00:00:00"/>
    <x v="1"/>
    <n v="283.88000499999998"/>
    <n v="284.5"/>
    <n v="274.45001200000002"/>
    <n v="278.14001500000001"/>
    <n v="278.14001500000001"/>
    <n v="-5.7399899999999775"/>
    <n v="8891500"/>
    <n v="-8.8397790055248601E-2"/>
    <n v="-32"/>
    <n v="-2.0219775605541425E-2"/>
    <n v="362"/>
  </r>
  <r>
    <x v="36"/>
    <d v="1905-07-10T00:00:00"/>
    <x v="1"/>
    <n v="281"/>
    <n v="286"/>
    <n v="277.80999800000001"/>
    <n v="285.92999300000002"/>
    <n v="285.92999300000002"/>
    <n v="4.9299930000000245"/>
    <n v="7301800"/>
    <n v="-5.5555555555555497E-2"/>
    <n v="-17"/>
    <n v="1.7544459074733183E-2"/>
    <n v="306"/>
  </r>
  <r>
    <x v="37"/>
    <d v="1905-07-10T00:00:00"/>
    <x v="1"/>
    <n v="288.75"/>
    <n v="295.64999399999999"/>
    <n v="287.01001000000002"/>
    <n v="294.16000400000001"/>
    <n v="294.16000400000001"/>
    <n v="5.4100040000000149"/>
    <n v="10268600"/>
    <n v="-2.3346303501945501E-2"/>
    <n v="-12"/>
    <n v="1.8735944588744641E-2"/>
    <n v="514"/>
  </r>
  <r>
    <x v="38"/>
    <d v="1905-07-10T00:00:00"/>
    <x v="1"/>
    <n v="294.76998900000001"/>
    <n v="297.35998499999999"/>
    <n v="290.58999599999999"/>
    <n v="290.60998499999999"/>
    <n v="290.60998499999999"/>
    <n v="-4.1600040000000149"/>
    <n v="9416500"/>
    <n v="-5.2083333333333301E-2"/>
    <n v="-20"/>
    <n v="-1.4112712132306028E-2"/>
    <n v="384"/>
  </r>
  <r>
    <x v="39"/>
    <d v="1905-07-10T00:00:00"/>
    <x v="1"/>
    <n v="293.10000600000001"/>
    <n v="295.75"/>
    <n v="290.77999899999998"/>
    <n v="291.38000499999998"/>
    <n v="291.38000499999998"/>
    <n v="-1.7200010000000248"/>
    <n v="7653500"/>
    <n v="-7.3446327683615795E-2"/>
    <n v="-26"/>
    <n v="-5.8683076246679594E-3"/>
    <n v="354"/>
  </r>
  <r>
    <x v="40"/>
    <d v="1905-07-10T00:00:00"/>
    <x v="2"/>
    <n v="292.75"/>
    <n v="295.25"/>
    <n v="283.82998700000002"/>
    <n v="290.39001500000001"/>
    <n v="290.39001500000001"/>
    <n v="-2.3599849999999947"/>
    <n v="11932100"/>
    <n v="-7.6086956521739094E-2"/>
    <n v="-28"/>
    <n v="-8.0614346712211595E-3"/>
    <n v="368"/>
  </r>
  <r>
    <x v="41"/>
    <d v="1905-07-10T00:00:00"/>
    <x v="2"/>
    <n v="284.64999399999999"/>
    <n v="301.17999300000002"/>
    <n v="283.23001099999999"/>
    <n v="301.04998799999998"/>
    <n v="301.04998799999998"/>
    <n v="16.399993999999992"/>
    <n v="13345300"/>
    <n v="-2.06185567010309E-2"/>
    <n v="-12"/>
    <n v="5.7614594574697212E-2"/>
    <n v="582"/>
  </r>
  <r>
    <x v="42"/>
    <d v="1905-07-10T00:00:00"/>
    <x v="2"/>
    <n v="302.85000600000001"/>
    <n v="316.91000400000001"/>
    <n v="297.60000600000001"/>
    <n v="315"/>
    <n v="315"/>
    <n v="12.149993999999992"/>
    <n v="18986100"/>
    <n v="-4.0469973890339399E-2"/>
    <n v="-31"/>
    <n v="4.0118850121469013E-2"/>
    <n v="766"/>
  </r>
  <r>
    <x v="43"/>
    <d v="1905-07-10T00:00:00"/>
    <x v="2"/>
    <n v="319.88000499999998"/>
    <n v="325.790009"/>
    <n v="316.5"/>
    <n v="325.22000100000002"/>
    <n v="325.22000100000002"/>
    <n v="5.3399960000000419"/>
    <n v="18525800"/>
    <n v="-4.1223404255319097E-2"/>
    <n v="-31"/>
    <n v="1.6693747394433241E-2"/>
    <n v="752"/>
  </r>
  <r>
    <x v="44"/>
    <d v="1905-07-10T00:00:00"/>
    <x v="2"/>
    <n v="320"/>
    <n v="323.73998999999998"/>
    <n v="314.54998799999998"/>
    <n v="321.16000400000001"/>
    <n v="321.16000400000001"/>
    <n v="1.1600040000000149"/>
    <n v="17132200"/>
    <n v="-0.102685624012638"/>
    <n v="-65"/>
    <n v="3.6250125000000465E-3"/>
    <n v="633"/>
  </r>
  <r>
    <x v="45"/>
    <d v="1905-07-10T00:00:00"/>
    <x v="2"/>
    <n v="322.20001200000002"/>
    <n v="322.92001299999998"/>
    <n v="314.13000499999998"/>
    <n v="317"/>
    <n v="317"/>
    <n v="-5.2000120000000152"/>
    <n v="11340100"/>
    <n v="-6.6844919786096205E-2"/>
    <n v="-25"/>
    <n v="-1.6139080714869788E-2"/>
    <n v="374"/>
  </r>
  <r>
    <x v="46"/>
    <d v="1905-07-10T00:00:00"/>
    <x v="2"/>
    <n v="321.32998700000002"/>
    <n v="331.44000199999999"/>
    <n v="320.23001099999999"/>
    <n v="331.44000199999999"/>
    <n v="331.44000199999999"/>
    <n v="10.110014999999976"/>
    <n v="14500200"/>
    <n v="-3.9007092198581499E-2"/>
    <n v="-22"/>
    <n v="3.1463029935018094E-2"/>
    <n v="564"/>
  </r>
  <r>
    <x v="47"/>
    <d v="1905-07-10T00:00:00"/>
    <x v="2"/>
    <n v="333.55999800000001"/>
    <n v="333.98001099999999"/>
    <n v="318.60000600000001"/>
    <n v="321.29998799999998"/>
    <n v="321.29998799999998"/>
    <n v="-12.260010000000023"/>
    <n v="20369200"/>
    <n v="-0.115326251896813"/>
    <n v="-76"/>
    <n v="-3.6755036795509344E-2"/>
    <n v="659"/>
  </r>
  <r>
    <x v="48"/>
    <d v="1905-07-10T00:00:00"/>
    <x v="2"/>
    <n v="323.86999500000002"/>
    <n v="325.83999599999999"/>
    <n v="313.27999899999998"/>
    <n v="315.88000499999998"/>
    <n v="315.88000499999998"/>
    <n v="-7.9899900000000343"/>
    <n v="12917200"/>
    <n v="-9.5454545454545403E-2"/>
    <n v="-42"/>
    <n v="-2.4670361945693779E-2"/>
    <n v="440"/>
  </r>
  <r>
    <x v="49"/>
    <d v="1905-07-10T00:00:00"/>
    <x v="2"/>
    <n v="318.16000400000001"/>
    <n v="323.88000499999998"/>
    <n v="317.70001200000002"/>
    <n v="321.54998799999998"/>
    <n v="321.54998799999998"/>
    <n v="3.3899839999999699"/>
    <n v="10475100"/>
    <n v="-5.7777777777777699E-2"/>
    <n v="-26"/>
    <n v="1.0654965920857764E-2"/>
    <n v="450"/>
  </r>
  <r>
    <x v="50"/>
    <d v="1905-07-10T00:00:00"/>
    <x v="2"/>
    <n v="323.17001299999998"/>
    <n v="323.39999399999999"/>
    <n v="318.14001500000001"/>
    <n v="321.08999599999999"/>
    <n v="321.08999599999999"/>
    <n v="-2.080016999999998"/>
    <n v="5642900"/>
    <n v="-7.6411960132890297E-2"/>
    <n v="-23"/>
    <n v="-6.4362933326985328E-3"/>
    <n v="301"/>
  </r>
  <r>
    <x v="51"/>
    <d v="1905-07-10T00:00:00"/>
    <x v="2"/>
    <n v="321.42001299999998"/>
    <n v="324.10998499999999"/>
    <n v="318.36999500000002"/>
    <n v="318.45001200000002"/>
    <n v="318.45001200000002"/>
    <n v="-2.9700009999999679"/>
    <n v="7333700"/>
    <n v="-4.4217687074829898E-2"/>
    <n v="-13"/>
    <n v="-9.2402491440381103E-3"/>
    <n v="294"/>
  </r>
  <r>
    <x v="52"/>
    <d v="1905-07-10T00:00:00"/>
    <x v="2"/>
    <n v="315.79998799999998"/>
    <n v="317"/>
    <n v="307.33999599999999"/>
    <n v="313.48001099999999"/>
    <n v="313.48001099999999"/>
    <n v="-2.3199769999999944"/>
    <n v="9925200"/>
    <n v="-0.102689486552567"/>
    <n v="-42"/>
    <n v="-7.3463492341867805E-3"/>
    <n v="409"/>
  </r>
  <r>
    <x v="53"/>
    <d v="1905-07-10T00:00:00"/>
    <x v="2"/>
    <n v="313.26001000000002"/>
    <n v="319.5"/>
    <n v="312.79998799999998"/>
    <n v="317.5"/>
    <n v="317.5"/>
    <n v="4.2399899999999775"/>
    <n v="5991900"/>
    <n v="-3.4582132564841501E-2"/>
    <n v="-12"/>
    <n v="1.3535050324489159E-2"/>
    <n v="347"/>
  </r>
  <r>
    <x v="54"/>
    <d v="1905-07-10T00:00:00"/>
    <x v="2"/>
    <n v="316.35000600000001"/>
    <n v="319.39999399999999"/>
    <n v="314.51001000000002"/>
    <n v="316.48001099999999"/>
    <n v="316.48001099999999"/>
    <n v="0.13000499999998283"/>
    <n v="5263900"/>
    <n v="-7.5657894736842105E-2"/>
    <n v="-23"/>
    <n v="4.1095305052715194E-4"/>
    <n v="304"/>
  </r>
  <r>
    <x v="55"/>
    <d v="1905-07-10T00:00:00"/>
    <x v="2"/>
    <n v="313.07000699999998"/>
    <n v="314.11999500000002"/>
    <n v="305.66000400000001"/>
    <n v="306.70001200000002"/>
    <n v="306.70001200000002"/>
    <n v="-6.3699949999999603"/>
    <n v="8063300"/>
    <n v="-6.7857142857142796E-2"/>
    <n v="-19"/>
    <n v="-2.0346870851796293E-2"/>
    <n v="280"/>
  </r>
  <r>
    <x v="56"/>
    <d v="1905-07-10T00:00:00"/>
    <x v="2"/>
    <n v="307.41000400000001"/>
    <n v="309.36999500000002"/>
    <n v="300.35998499999999"/>
    <n v="300.94000199999999"/>
    <n v="300.94000199999999"/>
    <n v="-6.4700020000000222"/>
    <n v="9529900"/>
    <n v="-5.31914893617021E-2"/>
    <n v="-15"/>
    <n v="-2.1046816680695992E-2"/>
    <n v="282"/>
  </r>
  <r>
    <x v="57"/>
    <d v="1905-07-10T00:00:00"/>
    <x v="2"/>
    <n v="309.35998499999999"/>
    <n v="321.02999899999998"/>
    <n v="302"/>
    <n v="320.35000600000001"/>
    <n v="320.35000600000001"/>
    <n v="10.990021000000013"/>
    <n v="11988300"/>
    <n v="-5.2469135802469098E-2"/>
    <n v="-17"/>
    <n v="3.5525024349868692E-2"/>
    <n v="324"/>
  </r>
  <r>
    <x v="58"/>
    <d v="1905-07-10T00:00:00"/>
    <x v="2"/>
    <n v="322.48998999999998"/>
    <n v="322.89999399999999"/>
    <n v="297"/>
    <n v="300.69000199999999"/>
    <n v="300.69000199999999"/>
    <n v="-21.799987999999985"/>
    <n v="12068600"/>
    <n v="-9.5671981776765294E-2"/>
    <n v="-42"/>
    <n v="-6.7598960203384878E-2"/>
    <n v="439"/>
  </r>
  <r>
    <x v="59"/>
    <d v="1905-07-10T00:00:00"/>
    <x v="2"/>
    <n v="298.39001500000001"/>
    <n v="298.79998799999998"/>
    <n v="281.60998499999999"/>
    <n v="285.76998900000001"/>
    <n v="285.76998900000001"/>
    <n v="-12.620025999999996"/>
    <n v="18972900"/>
    <n v="-0.11734693877551"/>
    <n v="-69"/>
    <n v="-4.229372755653367E-2"/>
    <n v="588"/>
  </r>
  <r>
    <x v="60"/>
    <d v="1905-07-10T00:00:00"/>
    <x v="2"/>
    <n v="287"/>
    <n v="295.35000600000001"/>
    <n v="275.89999399999999"/>
    <n v="295.35000600000001"/>
    <n v="295.35000600000001"/>
    <n v="8.3500060000000076"/>
    <n v="19145500"/>
    <n v="-9.3203883495145606E-2"/>
    <n v="-48"/>
    <n v="2.9094097560975637E-2"/>
    <n v="515"/>
  </r>
  <r>
    <x v="61"/>
    <d v="1905-07-10T00:00:00"/>
    <x v="3"/>
    <n v="291.94000199999999"/>
    <n v="292.86999500000002"/>
    <n v="275.04998799999998"/>
    <n v="280.290009"/>
    <n v="280.290009"/>
    <n v="-11.649992999999995"/>
    <n v="13405800"/>
    <n v="-0.12093023255813901"/>
    <n v="-52"/>
    <n v="-3.9905435775122025E-2"/>
    <n v="430"/>
  </r>
  <r>
    <x v="62"/>
    <d v="1905-07-10T00:00:00"/>
    <x v="3"/>
    <n v="285.45001200000002"/>
    <n v="291.25"/>
    <n v="278.01001000000002"/>
    <n v="283.67001299999998"/>
    <n v="283.67001299999998"/>
    <n v="-1.7799990000000321"/>
    <n v="12694900"/>
    <n v="-9.2957746478873199E-2"/>
    <n v="-33"/>
    <n v="-6.2357643200940975E-3"/>
    <n v="355"/>
  </r>
  <r>
    <x v="63"/>
    <d v="1905-07-10T00:00:00"/>
    <x v="3"/>
    <n v="273.63000499999998"/>
    <n v="290.30999800000001"/>
    <n v="271.22000100000002"/>
    <n v="288.94000199999999"/>
    <n v="288.94000199999999"/>
    <n v="15.30999700000001"/>
    <n v="12914000"/>
    <n v="-4.8780487804878002E-2"/>
    <n v="-18"/>
    <n v="5.595145532376835E-2"/>
    <n v="369"/>
  </r>
  <r>
    <x v="64"/>
    <d v="1905-07-10T00:00:00"/>
    <x v="3"/>
    <n v="293.14999399999999"/>
    <n v="299.16000400000001"/>
    <n v="289.10998499999999"/>
    <n v="293.97000100000002"/>
    <n v="293.97000100000002"/>
    <n v="0.82000700000003235"/>
    <n v="10655200"/>
    <n v="-1.5772870662460501E-2"/>
    <n v="-5"/>
    <n v="2.7972267330151554E-3"/>
    <n v="317"/>
  </r>
  <r>
    <x v="65"/>
    <d v="1905-07-10T00:00:00"/>
    <x v="3"/>
    <n v="289.10000600000001"/>
    <n v="298.85000600000001"/>
    <n v="285.64999399999999"/>
    <n v="288.85000600000001"/>
    <n v="288.85000600000001"/>
    <n v="-0.25"/>
    <n v="11444800"/>
    <n v="-5.1685393258426901E-2"/>
    <n v="-23"/>
    <n v="-8.6475266278617782E-4"/>
    <n v="445"/>
  </r>
  <r>
    <x v="66"/>
    <d v="1905-07-10T00:00:00"/>
    <x v="3"/>
    <n v="291.76998900000001"/>
    <n v="299.54998799999998"/>
    <n v="289.11999500000002"/>
    <n v="289.92999300000002"/>
    <n v="289.92999300000002"/>
    <n v="-1.8399959999999851"/>
    <n v="9853600"/>
    <n v="-3.3033033033033003E-2"/>
    <n v="-11"/>
    <n v="-6.3063237117234328E-3"/>
    <n v="333"/>
  </r>
  <r>
    <x v="67"/>
    <d v="1905-07-10T00:00:00"/>
    <x v="3"/>
    <n v="297.67999300000002"/>
    <n v="298.95001200000002"/>
    <n v="291.69000199999999"/>
    <n v="298.07000699999998"/>
    <n v="298.07000699999998"/>
    <n v="0.39001399999995101"/>
    <n v="10660500"/>
    <n v="-4.90956072351421E-2"/>
    <n v="-19"/>
    <n v="1.3101787462080159E-3"/>
    <n v="387"/>
  </r>
  <r>
    <x v="68"/>
    <d v="1905-07-10T00:00:00"/>
    <x v="3"/>
    <n v="302.88000499999998"/>
    <n v="311.64001500000001"/>
    <n v="301.82000699999998"/>
    <n v="303.67001299999998"/>
    <n v="303.67001299999998"/>
    <n v="0.79000800000000027"/>
    <n v="14877400"/>
    <n v="6.8259385665529002E-3"/>
    <n v="4"/>
    <n v="2.6083200837242471E-3"/>
    <n v="586"/>
  </r>
  <r>
    <x v="69"/>
    <d v="1905-07-10T00:00:00"/>
    <x v="3"/>
    <n v="309.72000100000002"/>
    <n v="311.13000499999998"/>
    <n v="306.75"/>
    <n v="309.25"/>
    <n v="309.25"/>
    <n v="-0.47000100000002476"/>
    <n v="10249400"/>
    <n v="-2.05338809034907E-2"/>
    <n v="-10"/>
    <n v="-1.5175029009509293E-3"/>
    <n v="487"/>
  </r>
  <r>
    <x v="70"/>
    <d v="1905-07-10T00:00:00"/>
    <x v="3"/>
    <n v="317.290009"/>
    <n v="317.48998999999998"/>
    <n v="308.23001099999999"/>
    <n v="311.64999399999999"/>
    <n v="311.64999399999999"/>
    <n v="-5.6400150000000053"/>
    <n v="12046600"/>
    <n v="5.0590219224282999E-3"/>
    <n v="3"/>
    <n v="-1.7775583346527641E-2"/>
    <n v="593"/>
  </r>
  <r>
    <x v="71"/>
    <d v="1905-07-10T00:00:00"/>
    <x v="3"/>
    <n v="315.98998999999998"/>
    <n v="316.10000600000001"/>
    <n v="304"/>
    <n v="307.77999899999998"/>
    <n v="307.77999899999998"/>
    <n v="-8.2099910000000023"/>
    <n v="20307900"/>
    <n v="-5.0835148874364003E-3"/>
    <n v="-7"/>
    <n v="-2.5981807208513164E-2"/>
    <n v="1377"/>
  </r>
  <r>
    <x v="72"/>
    <d v="1905-07-10T00:00:00"/>
    <x v="3"/>
    <n v="329.66000400000001"/>
    <n v="338.61999500000002"/>
    <n v="323.76998900000001"/>
    <n v="336.05999800000001"/>
    <n v="336.05999800000001"/>
    <n v="6.3999939999999924"/>
    <n v="33866500"/>
    <n v="-1.6574585635359101E-2"/>
    <n v="-27"/>
    <n v="1.9413923200704664E-2"/>
    <n v="1629"/>
  </r>
  <r>
    <x v="73"/>
    <d v="1905-07-10T00:00:00"/>
    <x v="3"/>
    <n v="336.29998799999998"/>
    <n v="338.82000699999998"/>
    <n v="331.10000600000001"/>
    <n v="334.51998900000001"/>
    <n v="334.51998900000001"/>
    <n v="-1.7799989999999752"/>
    <n v="11221100"/>
    <n v="-4.0372670807453402E-2"/>
    <n v="-26"/>
    <n v="-5.292890465401906E-3"/>
    <n v="644"/>
  </r>
  <r>
    <x v="74"/>
    <d v="1905-07-10T00:00:00"/>
    <x v="3"/>
    <n v="332.88000499999998"/>
    <n v="335.30999800000001"/>
    <n v="326.76998900000001"/>
    <n v="332.70001200000002"/>
    <n v="332.70001200000002"/>
    <n v="-0.17999299999996765"/>
    <n v="8438800"/>
    <n v="-7.55467196819085E-2"/>
    <n v="-38"/>
    <n v="-5.4071436342344344E-4"/>
    <n v="503"/>
  </r>
  <r>
    <x v="75"/>
    <d v="1905-07-10T00:00:00"/>
    <x v="3"/>
    <n v="332.22000100000002"/>
    <n v="336.51001000000002"/>
    <n v="326"/>
    <n v="327.76998900000001"/>
    <n v="327.76998900000001"/>
    <n v="-4.4500120000000152"/>
    <n v="9158700"/>
    <n v="-5.7553956834532301E-2"/>
    <n v="-24"/>
    <n v="-1.3394774506667992E-2"/>
    <n v="417"/>
  </r>
  <r>
    <x v="76"/>
    <d v="1905-07-10T00:00:00"/>
    <x v="3"/>
    <n v="329.14999399999999"/>
    <n v="331.22000100000002"/>
    <n v="317.07998700000002"/>
    <n v="318.69000199999999"/>
    <n v="318.69000199999999"/>
    <n v="-10.459992"/>
    <n v="8968000"/>
    <n v="-7.4626865671641701E-2"/>
    <n v="-30"/>
    <n v="-3.1778800518525913E-2"/>
    <n v="402"/>
  </r>
  <r>
    <x v="77"/>
    <d v="1905-07-10T00:00:00"/>
    <x v="3"/>
    <n v="319.22000100000002"/>
    <n v="320.25"/>
    <n v="302.30999800000001"/>
    <n v="307.01998900000001"/>
    <n v="307.01998900000001"/>
    <n v="-12.200012000000015"/>
    <n v="13893200"/>
    <n v="-0.10262529832935501"/>
    <n v="-43"/>
    <n v="-3.8218194229001377E-2"/>
    <n v="419"/>
  </r>
  <r>
    <x v="78"/>
    <d v="1905-07-10T00:00:00"/>
    <x v="3"/>
    <n v="306.36999500000002"/>
    <n v="309.98001099999999"/>
    <n v="292.61999500000002"/>
    <n v="305.76001000000002"/>
    <n v="305.76001000000002"/>
    <n v="-0.60998499999999467"/>
    <n v="14919700"/>
    <n v="-9.2499999999999999E-2"/>
    <n v="-37"/>
    <n v="-1.9910076376767724E-3"/>
    <n v="400"/>
  </r>
  <r>
    <x v="79"/>
    <d v="1905-07-10T00:00:00"/>
    <x v="3"/>
    <n v="310"/>
    <n v="316.63000499999998"/>
    <n v="305.57998700000002"/>
    <n v="313.98001099999999"/>
    <n v="313.98001099999999"/>
    <n v="3.9800109999999904"/>
    <n v="9266700"/>
    <n v="-3.54609929078014E-2"/>
    <n v="-10"/>
    <n v="1.2838745161290292E-2"/>
    <n v="282"/>
  </r>
  <r>
    <x v="80"/>
    <d v="1905-07-10T00:00:00"/>
    <x v="3"/>
    <n v="316.25"/>
    <n v="317.45001200000002"/>
    <n v="306.5"/>
    <n v="311.76001000000002"/>
    <n v="311.76001000000002"/>
    <n v="-4.4899899999999775"/>
    <n v="7074400"/>
    <n v="-8.4848484848484798E-2"/>
    <n v="-28"/>
    <n v="-1.4197596837944594E-2"/>
    <n v="330"/>
  </r>
  <r>
    <x v="81"/>
    <d v="1905-07-10T00:00:00"/>
    <x v="3"/>
    <n v="311.07000699999998"/>
    <n v="317.88000499999998"/>
    <n v="310.11999500000002"/>
    <n v="312.459991"/>
    <n v="312.459991"/>
    <n v="1.3899840000000268"/>
    <n v="6088800"/>
    <n v="-5.8091286307053902E-2"/>
    <n v="-14"/>
    <n v="4.4683960803717955E-3"/>
    <n v="241"/>
  </r>
  <r>
    <x v="82"/>
    <d v="1905-07-10T00:00:00"/>
    <x v="4"/>
    <n v="310.35998499999999"/>
    <n v="313.48001099999999"/>
    <n v="306.69000199999999"/>
    <n v="313.29998799999998"/>
    <n v="313.29998799999998"/>
    <n v="2.9400029999999902"/>
    <n v="6036600"/>
    <n v="-6.5517241379310295E-2"/>
    <n v="-19"/>
    <n v="9.4728803392614882E-3"/>
    <n v="290"/>
  </r>
  <r>
    <x v="83"/>
    <d v="1905-07-10T00:00:00"/>
    <x v="4"/>
    <n v="311.64999399999999"/>
    <n v="317.10000600000001"/>
    <n v="310.39999399999999"/>
    <n v="313.35998499999999"/>
    <n v="313.35998499999999"/>
    <n v="1.7099910000000023"/>
    <n v="5697100"/>
    <n v="-4.1666666666666602E-2"/>
    <n v="-10"/>
    <n v="5.4868956615478142E-3"/>
    <n v="240"/>
  </r>
  <r>
    <x v="84"/>
    <d v="1905-07-10T00:00:00"/>
    <x v="4"/>
    <n v="312.58999599999999"/>
    <n v="312.58999599999999"/>
    <n v="305.73001099999999"/>
    <n v="311.69000199999999"/>
    <n v="311.69000199999999"/>
    <n v="-0.89999399999999241"/>
    <n v="6135800"/>
    <n v="-5.1886792452830101E-2"/>
    <n v="-11"/>
    <n v="-2.8791516411804568E-3"/>
    <n v="212"/>
  </r>
  <r>
    <x v="85"/>
    <d v="1905-07-10T00:00:00"/>
    <x v="4"/>
    <n v="308.709991"/>
    <n v="320.98001099999999"/>
    <n v="307.67001299999998"/>
    <n v="320.08999599999999"/>
    <n v="320.08999599999999"/>
    <n v="11.380004999999983"/>
    <n v="8209500"/>
    <n v="-4.296875E-2"/>
    <n v="-11"/>
    <n v="3.6863092649307816E-2"/>
    <n v="256"/>
  </r>
  <r>
    <x v="86"/>
    <d v="1905-07-10T00:00:00"/>
    <x v="4"/>
    <n v="321.98998999999998"/>
    <n v="329.01998900000001"/>
    <n v="319.33999599999999"/>
    <n v="326.26001000000002"/>
    <n v="326.26001000000002"/>
    <n v="4.270020000000045"/>
    <n v="7117800"/>
    <n v="-6.5281899109792194E-2"/>
    <n v="-22"/>
    <n v="1.3261343931841004E-2"/>
    <n v="337"/>
  </r>
  <r>
    <x v="87"/>
    <d v="1905-07-10T00:00:00"/>
    <x v="4"/>
    <n v="325.89999399999999"/>
    <n v="327.35000600000001"/>
    <n v="323.04998799999998"/>
    <n v="326.89001500000001"/>
    <n v="326.89001500000001"/>
    <n v="0.99002100000001292"/>
    <n v="4735700"/>
    <n v="-3.6666666666666597E-2"/>
    <n v="-11"/>
    <n v="3.037806131411015E-3"/>
    <n v="300"/>
  </r>
  <r>
    <x v="88"/>
    <d v="1905-07-10T00:00:00"/>
    <x v="4"/>
    <n v="328.790009"/>
    <n v="331.95001200000002"/>
    <n v="327.51001000000002"/>
    <n v="330.29998799999998"/>
    <n v="330.29998799999998"/>
    <n v="1.5099789999999871"/>
    <n v="5633400"/>
    <n v="-7.2289156626505993E-2"/>
    <n v="-18"/>
    <n v="4.5925331021843402E-3"/>
    <n v="249"/>
  </r>
  <r>
    <x v="89"/>
    <d v="1905-07-10T00:00:00"/>
    <x v="4"/>
    <n v="331.5"/>
    <n v="332.05999800000001"/>
    <n v="327.33999599999999"/>
    <n v="329.60000600000001"/>
    <n v="329.60000600000001"/>
    <n v="-1.8999939999999924"/>
    <n v="5302300"/>
    <n v="-7.1428571428571397E-2"/>
    <n v="-16"/>
    <n v="-5.7315052790346682E-3"/>
    <n v="224"/>
  </r>
  <r>
    <x v="90"/>
    <d v="1905-07-10T00:00:00"/>
    <x v="4"/>
    <n v="329.64999399999999"/>
    <n v="331.26001000000002"/>
    <n v="324.86999500000002"/>
    <n v="326.459991"/>
    <n v="326.459991"/>
    <n v="-3.1900029999999902"/>
    <n v="4589700"/>
    <n v="-3.6529680365296802E-2"/>
    <n v="-8"/>
    <n v="-9.6769393540470997E-3"/>
    <n v="219"/>
  </r>
  <r>
    <x v="91"/>
    <d v="1905-07-10T00:00:00"/>
    <x v="4"/>
    <n v="327.25"/>
    <n v="330.5"/>
    <n v="327.040009"/>
    <n v="328.52999899999998"/>
    <n v="328.52999899999998"/>
    <n v="1.2799989999999752"/>
    <n v="4089800"/>
    <n v="-7.7519379844960996E-3"/>
    <n v="-2"/>
    <n v="3.9113796791443098E-3"/>
    <n v="258"/>
  </r>
  <r>
    <x v="92"/>
    <d v="1905-07-10T00:00:00"/>
    <x v="4"/>
    <n v="325.94000199999999"/>
    <n v="326.94000199999999"/>
    <n v="322.42999300000002"/>
    <n v="326.13000499999998"/>
    <n v="326.13000499999998"/>
    <n v="0.19000299999999015"/>
    <n v="4746100"/>
    <n v="-2.94117647058823E-2"/>
    <n v="-8"/>
    <n v="5.8293857407532988E-4"/>
    <n v="272"/>
  </r>
  <r>
    <x v="93"/>
    <d v="1905-07-10T00:00:00"/>
    <x v="4"/>
    <n v="326.27999899999998"/>
    <n v="329.72000100000002"/>
    <n v="325.14001500000001"/>
    <n v="328.19000199999999"/>
    <n v="328.19000199999999"/>
    <n v="1.9100030000000174"/>
    <n v="3671700"/>
    <n v="-5.6737588652482199E-2"/>
    <n v="-16"/>
    <n v="5.8538770560680846E-3"/>
    <n v="282"/>
  </r>
  <r>
    <x v="94"/>
    <d v="1905-07-10T00:00:00"/>
    <x v="4"/>
    <n v="327.52999899999998"/>
    <n v="330.45001200000002"/>
    <n v="323.17001299999998"/>
    <n v="325.22000100000002"/>
    <n v="325.22000100000002"/>
    <n v="-2.3099979999999505"/>
    <n v="4935700"/>
    <n v="-4.0145985401459798E-2"/>
    <n v="-11"/>
    <n v="-7.0527829727131362E-3"/>
    <n v="274"/>
  </r>
  <r>
    <x v="95"/>
    <d v="1905-07-10T00:00:00"/>
    <x v="4"/>
    <n v="324.89999399999999"/>
    <n v="326.42001299999998"/>
    <n v="322.79998799999998"/>
    <n v="324.17999300000002"/>
    <n v="324.17999300000002"/>
    <n v="-0.72000099999996792"/>
    <n v="3577700"/>
    <n v="-8.4745762711864403E-2"/>
    <n v="-15"/>
    <n v="-2.2160696007891213E-3"/>
    <n v="177"/>
  </r>
  <r>
    <x v="96"/>
    <d v="1905-07-10T00:00:00"/>
    <x v="4"/>
    <n v="327.10998499999999"/>
    <n v="331.88000499999998"/>
    <n v="325.45001200000002"/>
    <n v="331.82000699999998"/>
    <n v="331.82000699999998"/>
    <n v="4.7100219999999808"/>
    <n v="6657300"/>
    <n v="-2.6190476190476101E-2"/>
    <n v="-11"/>
    <n v="1.4398893998909819E-2"/>
    <n v="420"/>
  </r>
  <r>
    <x v="97"/>
    <d v="1905-07-10T00:00:00"/>
    <x v="4"/>
    <n v="334.04998799999998"/>
    <n v="336.63000499999998"/>
    <n v="331.14999399999999"/>
    <n v="331.61999500000002"/>
    <n v="331.61999500000002"/>
    <n v="-2.4299929999999677"/>
    <n v="5964400"/>
    <n v="-7.9404466501240695E-2"/>
    <n v="-32"/>
    <n v="-7.2743394320971136E-3"/>
    <n v="403"/>
  </r>
  <r>
    <x v="98"/>
    <d v="1905-07-10T00:00:00"/>
    <x v="4"/>
    <n v="329.040009"/>
    <n v="345"/>
    <n v="328.08999599999999"/>
    <n v="344.72000100000002"/>
    <n v="344.72000100000002"/>
    <n v="15.679992000000027"/>
    <n v="10049100"/>
    <n v="3.6603221083455303E-2"/>
    <n v="25"/>
    <n v="4.7653755078763162E-2"/>
    <n v="683"/>
  </r>
  <r>
    <x v="99"/>
    <d v="1905-07-10T00:00:00"/>
    <x v="4"/>
    <n v="344.33999599999999"/>
    <n v="354"/>
    <n v="341.11999500000002"/>
    <n v="349.290009"/>
    <n v="349.290009"/>
    <n v="4.9500130000000127"/>
    <n v="14758600"/>
    <n v="-2.62216924910607E-2"/>
    <n v="-22"/>
    <n v="1.4375364632344402E-2"/>
    <n v="839"/>
  </r>
  <r>
    <x v="100"/>
    <d v="1905-07-10T00:00:00"/>
    <x v="4"/>
    <n v="349.89999399999999"/>
    <n v="354.35998499999999"/>
    <n v="348.82998700000002"/>
    <n v="351.290009"/>
    <n v="351.290009"/>
    <n v="1.3900150000000053"/>
    <n v="7817400"/>
    <n v="-2.6266416510318899E-2"/>
    <n v="-14"/>
    <n v="3.9726065271095869E-3"/>
    <n v="533"/>
  </r>
  <r>
    <x v="101"/>
    <d v="1905-07-10T00:00:00"/>
    <x v="4"/>
    <n v="351.5"/>
    <n v="356.10000600000001"/>
    <n v="346.709991"/>
    <n v="349.73001099999999"/>
    <n v="349.73001099999999"/>
    <n v="-1.7699890000000096"/>
    <n v="9717900"/>
    <n v="-7.6142131979695396E-2"/>
    <n v="-30"/>
    <n v="-5.0355305832148209E-3"/>
    <n v="394"/>
  </r>
  <r>
    <x v="102"/>
    <d v="1905-07-10T00:00:00"/>
    <x v="4"/>
    <n v="352.36999500000002"/>
    <n v="354"/>
    <n v="349.26001000000002"/>
    <n v="353.540009"/>
    <n v="353.540009"/>
    <n v="1.1700139999999806"/>
    <n v="5685500"/>
    <n v="-0.10759493670886"/>
    <n v="-34"/>
    <n v="3.3204132491473359E-3"/>
    <n v="316"/>
  </r>
  <r>
    <x v="103"/>
    <d v="1905-07-10T00:00:00"/>
    <x v="4"/>
    <n v="353.79998799999998"/>
    <n v="355.52999899999998"/>
    <n v="350.209991"/>
    <n v="351.60000600000001"/>
    <n v="351.60000600000001"/>
    <n v="-2.1999819999999772"/>
    <n v="6921700"/>
    <n v="-0.111864406779661"/>
    <n v="-33"/>
    <n v="-6.2181517089253758E-3"/>
    <n v="295"/>
  </r>
  <r>
    <x v="104"/>
    <d v="1905-07-10T00:00:00"/>
    <x v="5"/>
    <n v="353.88000499999998"/>
    <n v="359.98998999999998"/>
    <n v="352.82000699999998"/>
    <n v="359.92999300000002"/>
    <n v="359.92999300000002"/>
    <n v="6.0499880000000417"/>
    <n v="7112300"/>
    <n v="3.4188034188034101E-2"/>
    <n v="12"/>
    <n v="1.7096156647788116E-2"/>
    <n v="351"/>
  </r>
  <r>
    <x v="105"/>
    <d v="1905-07-10T00:00:00"/>
    <x v="5"/>
    <n v="362.67999300000002"/>
    <n v="363"/>
    <n v="355.51001000000002"/>
    <n v="361.80999800000001"/>
    <n v="361.80999800000001"/>
    <n v="-0.86999500000001717"/>
    <n v="7682000"/>
    <n v="-7.0496083550913802E-2"/>
    <n v="-27"/>
    <n v="-2.3987951273618147E-3"/>
    <n v="383"/>
  </r>
  <r>
    <x v="106"/>
    <d v="1905-07-10T00:00:00"/>
    <x v="5"/>
    <n v="363.32000699999998"/>
    <n v="369.82998700000002"/>
    <n v="361.41000400000001"/>
    <n v="365.79998799999998"/>
    <n v="365.79998799999998"/>
    <n v="2.4799810000000093"/>
    <n v="8358000"/>
    <n v="-1.43737166324435E-2"/>
    <n v="-7"/>
    <n v="6.8258861395431207E-3"/>
    <n v="487"/>
  </r>
  <r>
    <x v="107"/>
    <d v="1905-07-10T00:00:00"/>
    <x v="5"/>
    <n v="367.77999899999998"/>
    <n v="369.67999300000002"/>
    <n v="363.32998700000002"/>
    <n v="367.45001200000002"/>
    <n v="367.45001200000002"/>
    <n v="-0.32998699999996006"/>
    <n v="7712300"/>
    <n v="-6.8493150684931E-3"/>
    <n v="-2"/>
    <n v="-8.9724020038392592E-4"/>
    <n v="292"/>
  </r>
  <r>
    <x v="108"/>
    <d v="1905-07-10T00:00:00"/>
    <x v="5"/>
    <n v="368.540009"/>
    <n v="368.70001200000002"/>
    <n v="357.79998799999998"/>
    <n v="361.39999399999999"/>
    <n v="361.39999399999999"/>
    <n v="-7.1400150000000053"/>
    <n v="8278000"/>
    <n v="-4.0498442367601202E-2"/>
    <n v="-13"/>
    <n v="-1.9373785276051277E-2"/>
    <n v="321"/>
  </r>
  <r>
    <x v="109"/>
    <d v="1905-07-10T00:00:00"/>
    <x v="5"/>
    <n v="358.05999800000001"/>
    <n v="362.39001500000001"/>
    <n v="356.25"/>
    <n v="360.57000699999998"/>
    <n v="360.57000699999998"/>
    <n v="2.5100089999999682"/>
    <n v="5225700"/>
    <n v="-1.1494252873563199E-2"/>
    <n v="-3"/>
    <n v="7.0100234989108395E-3"/>
    <n v="261"/>
  </r>
  <r>
    <x v="110"/>
    <d v="1905-07-10T00:00:00"/>
    <x v="5"/>
    <n v="361.88000499999998"/>
    <n v="365.67001299999998"/>
    <n v="360.91000400000001"/>
    <n v="361.45001200000002"/>
    <n v="361.45001200000002"/>
    <n v="-0.42999299999996765"/>
    <n v="4432400"/>
    <n v="-8.9795918367346905E-2"/>
    <n v="-22"/>
    <n v="-1.1882198354671949E-3"/>
    <n v="245"/>
  </r>
  <r>
    <x v="111"/>
    <d v="1905-07-10T00:00:00"/>
    <x v="5"/>
    <n v="363.60000600000001"/>
    <n v="365.98001099999999"/>
    <n v="362"/>
    <n v="363.82998700000002"/>
    <n v="363.82998700000002"/>
    <n v="0.22998100000000932"/>
    <n v="4291000"/>
    <n v="-8.0701754385964899E-2"/>
    <n v="-23"/>
    <n v="6.3251099066266049E-4"/>
    <n v="285"/>
  </r>
  <r>
    <x v="112"/>
    <d v="1905-07-10T00:00:00"/>
    <x v="5"/>
    <n v="367.52999899999998"/>
    <n v="384.25"/>
    <n v="364.10998499999999"/>
    <n v="379.92999300000002"/>
    <n v="379.92999300000002"/>
    <n v="12.399994000000049"/>
    <n v="18222800"/>
    <n v="-6.3034188034188005E-2"/>
    <n v="-59"/>
    <n v="3.3738726182185881E-2"/>
    <n v="936"/>
  </r>
  <r>
    <x v="113"/>
    <d v="1905-07-10T00:00:00"/>
    <x v="5"/>
    <n v="384.26998900000001"/>
    <n v="395.02999899999998"/>
    <n v="383.25"/>
    <n v="392.86999500000002"/>
    <n v="392.86999500000002"/>
    <n v="8.6000060000000076"/>
    <n v="14598300"/>
    <n v="-6.40732265446224E-2"/>
    <n v="-56"/>
    <n v="2.2380113582067963E-2"/>
    <n v="874"/>
  </r>
  <r>
    <x v="114"/>
    <d v="1905-07-10T00:00:00"/>
    <x v="5"/>
    <n v="390.709991"/>
    <n v="398.85998499999999"/>
    <n v="387.51001000000002"/>
    <n v="391.98001099999999"/>
    <n v="391.98001099999999"/>
    <n v="1.2700199999999882"/>
    <n v="13588100"/>
    <n v="-1.2903225806451601E-2"/>
    <n v="-8"/>
    <n v="3.2505439565275619E-3"/>
    <n v="620"/>
  </r>
  <r>
    <x v="115"/>
    <d v="1905-07-10T00:00:00"/>
    <x v="5"/>
    <n v="387.72000100000002"/>
    <n v="393.16000400000001"/>
    <n v="386.5"/>
    <n v="390.39999399999999"/>
    <n v="390.39999399999999"/>
    <n v="2.6799929999999677"/>
    <n v="6824800"/>
    <n v="-4.3956043956043897E-2"/>
    <n v="-12"/>
    <n v="6.9121866116985987E-3"/>
    <n v="273"/>
  </r>
  <r>
    <x v="116"/>
    <d v="1905-07-10T00:00:00"/>
    <x v="5"/>
    <n v="389.5"/>
    <n v="405.290009"/>
    <n v="388.5"/>
    <n v="404.98001099999999"/>
    <n v="404.98001099999999"/>
    <n v="15.48001099999999"/>
    <n v="16697100"/>
    <n v="-2.5089605734767002E-2"/>
    <n v="-21"/>
    <n v="3.9743288831835664E-2"/>
    <n v="837"/>
  </r>
  <r>
    <x v="117"/>
    <d v="1905-07-10T00:00:00"/>
    <x v="5"/>
    <n v="415.14999399999999"/>
    <n v="419.47000100000002"/>
    <n v="409.60000600000001"/>
    <n v="416.76001000000002"/>
    <n v="416.76001000000002"/>
    <n v="1.6100160000000301"/>
    <n v="16494600"/>
    <n v="-8.51851851851851E-2"/>
    <n v="-92"/>
    <n v="3.8781549398264718E-3"/>
    <n v="1080"/>
  </r>
  <r>
    <x v="118"/>
    <d v="1905-07-10T00:00:00"/>
    <x v="5"/>
    <n v="421.38000499999998"/>
    <n v="423.209991"/>
    <n v="406.36999500000002"/>
    <n v="415.44000199999999"/>
    <n v="415.44000199999999"/>
    <n v="-5.9400029999999902"/>
    <n v="18389900"/>
    <n v="-0.121595330739299"/>
    <n v="-125"/>
    <n v="-1.4096546892394646E-2"/>
    <n v="1028"/>
  </r>
  <r>
    <x v="119"/>
    <d v="1905-07-10T00:00:00"/>
    <x v="5"/>
    <n v="419.98001099999999"/>
    <n v="420.5"/>
    <n v="409.64999399999999"/>
    <n v="411.08999599999999"/>
    <n v="411.08999599999999"/>
    <n v="-8.8900150000000053"/>
    <n v="10428600"/>
    <n v="-0.18269230769230699"/>
    <n v="-95"/>
    <n v="-2.1167709812741554E-2"/>
    <n v="520"/>
  </r>
  <r>
    <x v="120"/>
    <d v="1905-07-10T00:00:00"/>
    <x v="5"/>
    <n v="404.69000199999999"/>
    <n v="405.98998999999998"/>
    <n v="378.75"/>
    <n v="384.48001099999999"/>
    <n v="384.48001099999999"/>
    <n v="-20.209991000000002"/>
    <n v="22490900"/>
    <n v="-0.12012480499219901"/>
    <n v="-77"/>
    <n v="-4.9939437347404504E-2"/>
    <n v="641"/>
  </r>
  <r>
    <x v="121"/>
    <d v="1905-07-10T00:00:00"/>
    <x v="5"/>
    <n v="393.27999899999998"/>
    <n v="404.77999899999998"/>
    <n v="389.04998799999998"/>
    <n v="399.39001500000001"/>
    <n v="399.39001500000001"/>
    <n v="6.1100160000000301"/>
    <n v="15191200"/>
    <n v="-9.4801223241590196E-2"/>
    <n v="-62"/>
    <n v="1.5536045605004262E-2"/>
    <n v="654"/>
  </r>
  <r>
    <x v="122"/>
    <d v="1905-07-10T00:00:00"/>
    <x v="5"/>
    <n v="407.55999800000001"/>
    <n v="411.58999599999999"/>
    <n v="390"/>
    <n v="390.39001500000001"/>
    <n v="390.39001500000001"/>
    <n v="-17.169983000000002"/>
    <n v="16541400"/>
    <n v="-0.13608562691131401"/>
    <n v="-89"/>
    <n v="-4.2128724811702455E-2"/>
    <n v="654"/>
  </r>
  <r>
    <x v="123"/>
    <d v="1905-07-10T00:00:00"/>
    <x v="5"/>
    <n v="395"/>
    <n v="396.89999399999999"/>
    <n v="387.10000600000001"/>
    <n v="395.42001299999998"/>
    <n v="395.42001299999998"/>
    <n v="0.42001299999998309"/>
    <n v="12219900"/>
    <n v="-0.13555555555555501"/>
    <n v="-61"/>
    <n v="1.0633240506328686E-3"/>
    <n v="450"/>
  </r>
  <r>
    <x v="124"/>
    <d v="1905-07-10T00:00:00"/>
    <x v="5"/>
    <n v="399.19000199999999"/>
    <n v="401.32998700000002"/>
    <n v="390.54998799999998"/>
    <n v="391.42999300000002"/>
    <n v="391.42999300000002"/>
    <n v="-7.7600089999999682"/>
    <n v="9252500"/>
    <n v="-0.10103626943005101"/>
    <n v="-39"/>
    <n v="-1.9439387161805641E-2"/>
    <n v="386"/>
  </r>
  <r>
    <x v="125"/>
    <d v="1905-07-10T00:00:00"/>
    <x v="6"/>
    <n v="385.45001200000002"/>
    <n v="398.38000499999998"/>
    <n v="380"/>
    <n v="398.17999300000002"/>
    <n v="398.17999300000002"/>
    <n v="12.729981000000009"/>
    <n v="8142500"/>
    <n v="-7.4666666666666603E-2"/>
    <n v="-28"/>
    <n v="3.3026282536475854E-2"/>
    <n v="375"/>
  </r>
  <r>
    <x v="126"/>
    <d v="1905-07-10T00:00:00"/>
    <x v="6"/>
    <n v="399.48998999999998"/>
    <n v="399.98001099999999"/>
    <n v="389.5"/>
    <n v="390.51998900000001"/>
    <n v="390.51998900000001"/>
    <n v="-8.9700009999999679"/>
    <n v="5280300"/>
    <n v="-4.08163265306122E-2"/>
    <n v="-12"/>
    <n v="-2.2453631441428527E-2"/>
    <n v="294"/>
  </r>
  <r>
    <x v="127"/>
    <d v="1905-07-10T00:00:00"/>
    <x v="6"/>
    <n v="393.79998799999998"/>
    <n v="399.23998999999998"/>
    <n v="390.85998499999999"/>
    <n v="398.39001500000001"/>
    <n v="398.39001500000001"/>
    <n v="4.5900270000000205"/>
    <n v="8448900"/>
    <n v="-4.3715846994535498E-2"/>
    <n v="-16"/>
    <n v="1.1655731690880652E-2"/>
    <n v="366"/>
  </r>
  <r>
    <x v="128"/>
    <d v="1905-07-10T00:00:00"/>
    <x v="6"/>
    <n v="397.45001200000002"/>
    <n v="408.64999399999999"/>
    <n v="395.51998900000001"/>
    <n v="408.25"/>
    <n v="408.25"/>
    <n v="10.799987999999985"/>
    <n v="8629600"/>
    <n v="3.1602708803611698E-2"/>
    <n v="14"/>
    <n v="2.7173198324120278E-2"/>
    <n v="443"/>
  </r>
  <r>
    <x v="129"/>
    <d v="1905-07-10T00:00:00"/>
    <x v="6"/>
    <n v="415.95001200000002"/>
    <n v="419.11999500000002"/>
    <n v="411.10000600000001"/>
    <n v="418.97000100000002"/>
    <n v="418.97000100000002"/>
    <n v="3.0199890000000096"/>
    <n v="11127500"/>
    <n v="-2.3255813953488299E-2"/>
    <n v="-11"/>
    <n v="7.2604613844800409E-3"/>
    <n v="473"/>
  </r>
  <r>
    <x v="130"/>
    <d v="1905-07-10T00:00:00"/>
    <x v="6"/>
    <n v="417.23998999999998"/>
    <n v="419.44000199999999"/>
    <n v="413.07998700000002"/>
    <n v="415.63000499999998"/>
    <n v="415.63000499999998"/>
    <n v="-1.6099849999999947"/>
    <n v="9382900"/>
    <n v="-5.44554455445544E-2"/>
    <n v="-22"/>
    <n v="-3.8586545839002506E-3"/>
    <n v="404"/>
  </r>
  <r>
    <x v="131"/>
    <d v="1905-07-10T00:00:00"/>
    <x v="6"/>
    <n v="411.33999599999999"/>
    <n v="419.76998900000001"/>
    <n v="410.60000600000001"/>
    <n v="418.64999399999999"/>
    <n v="418.64999399999999"/>
    <n v="7.3099980000000073"/>
    <n v="9713900"/>
    <n v="-7.8512396694214795E-2"/>
    <n v="-38"/>
    <n v="1.7771182163380018E-2"/>
    <n v="484"/>
  </r>
  <r>
    <x v="132"/>
    <d v="1905-07-10T00:00:00"/>
    <x v="6"/>
    <n v="415.16000400000001"/>
    <n v="416.790009"/>
    <n v="407.79998799999998"/>
    <n v="413.5"/>
    <n v="413.5"/>
    <n v="-1.6600040000000149"/>
    <n v="12743300"/>
    <n v="-7.1999999999999995E-2"/>
    <n v="-45"/>
    <n v="-3.9984680219822301E-3"/>
    <n v="625"/>
  </r>
  <r>
    <x v="133"/>
    <d v="1905-07-10T00:00:00"/>
    <x v="6"/>
    <n v="409.19000199999999"/>
    <n v="410"/>
    <n v="395.07998700000002"/>
    <n v="395.79998799999998"/>
    <n v="395.79998799999998"/>
    <n v="-13.390014000000008"/>
    <n v="15719000"/>
    <n v="-0.14164305949008499"/>
    <n v="-100"/>
    <n v="-3.2723218882557172E-2"/>
    <n v="706"/>
  </r>
  <r>
    <x v="134"/>
    <d v="1905-07-10T00:00:00"/>
    <x v="6"/>
    <n v="398.98001099999999"/>
    <n v="403.35998499999999"/>
    <n v="391.75"/>
    <n v="400.48001099999999"/>
    <n v="400.48001099999999"/>
    <n v="1.5"/>
    <n v="22960000"/>
    <n v="-0.15359871330920699"/>
    <n v="-382"/>
    <n v="3.7595868430611678E-3"/>
    <n v="2487"/>
  </r>
  <r>
    <x v="135"/>
    <d v="1905-07-10T00:00:00"/>
    <x v="6"/>
    <n v="346.95001200000002"/>
    <n v="385"/>
    <n v="344"/>
    <n v="379.48001099999999"/>
    <n v="379.48001099999999"/>
    <n v="32.529998999999975"/>
    <n v="58410400"/>
    <n v="-0.110558123000355"/>
    <n v="-311"/>
    <n v="9.3759901642545482E-2"/>
    <n v="2813"/>
  </r>
  <r>
    <x v="136"/>
    <d v="1905-07-10T00:00:00"/>
    <x v="6"/>
    <n v="381.23998999999998"/>
    <n v="383.13000499999998"/>
    <n v="372.35998499999999"/>
    <n v="375.13000499999998"/>
    <n v="375.13000499999998"/>
    <n v="-6.1099849999999947"/>
    <n v="21746300"/>
    <n v="-5.0847457627118599E-2"/>
    <n v="-39"/>
    <n v="-1.6026610954427933E-2"/>
    <n v="767"/>
  </r>
  <r>
    <x v="137"/>
    <d v="1905-07-10T00:00:00"/>
    <x v="6"/>
    <n v="371.05999800000001"/>
    <n v="375.75"/>
    <n v="363"/>
    <n v="364.23001099999999"/>
    <n v="364.23001099999999"/>
    <n v="-6.8299870000000169"/>
    <n v="16878700"/>
    <n v="-0.11713030746705699"/>
    <n v="-80"/>
    <n v="-1.8406691739377461E-2"/>
    <n v="683"/>
  </r>
  <r>
    <x v="138"/>
    <d v="1905-07-10T00:00:00"/>
    <x v="6"/>
    <n v="364.92001299999998"/>
    <n v="370.5"/>
    <n v="360.14001500000001"/>
    <n v="361.04998799999998"/>
    <n v="361.04998799999998"/>
    <n v="-3.8700249999999983"/>
    <n v="15096700"/>
    <n v="-9.5652173913043398E-2"/>
    <n v="-55"/>
    <n v="-1.0605132254009863E-2"/>
    <n v="575"/>
  </r>
  <r>
    <x v="139"/>
    <d v="1905-07-10T00:00:00"/>
    <x v="6"/>
    <n v="359.14999399999999"/>
    <n v="363.89999399999999"/>
    <n v="353.60000600000001"/>
    <n v="362.66000400000001"/>
    <n v="362.66000400000001"/>
    <n v="3.5100100000000225"/>
    <n v="11505200"/>
    <n v="-4.4585987261146397E-2"/>
    <n v="-21"/>
    <n v="9.7731033235100729E-3"/>
    <n v="471"/>
  </r>
  <r>
    <x v="140"/>
    <d v="1905-07-10T00:00:00"/>
    <x v="6"/>
    <n v="366.94000199999999"/>
    <n v="367.39999399999999"/>
    <n v="354.55999800000001"/>
    <n v="357.32000699999998"/>
    <n v="357.32000699999998"/>
    <n v="-9.6199950000000172"/>
    <n v="12851500"/>
    <n v="-0.11874999999999999"/>
    <n v="-57"/>
    <n v="-2.6216806419486576E-2"/>
    <n v="480"/>
  </r>
  <r>
    <x v="141"/>
    <d v="1905-07-10T00:00:00"/>
    <x v="6"/>
    <n v="357.57000699999998"/>
    <n v="363.27999899999998"/>
    <n v="355.64999399999999"/>
    <n v="362.86999500000002"/>
    <n v="362.86999500000002"/>
    <n v="5.2999880000000417"/>
    <n v="8467800"/>
    <n v="-8.3333333333333301E-2"/>
    <n v="-43"/>
    <n v="1.4822238711984705E-2"/>
    <n v="516"/>
  </r>
  <r>
    <x v="142"/>
    <d v="1905-07-10T00:00:00"/>
    <x v="6"/>
    <n v="358.19000199999999"/>
    <n v="365.540009"/>
    <n v="356.63000499999998"/>
    <n v="363.08999599999999"/>
    <n v="363.08999599999999"/>
    <n v="4.8999939999999924"/>
    <n v="6993700"/>
    <n v="-0.108514190317195"/>
    <n v="-65"/>
    <n v="1.3679873733605755E-2"/>
    <n v="599"/>
  </r>
  <r>
    <x v="143"/>
    <d v="1905-07-10T00:00:00"/>
    <x v="6"/>
    <n v="366.85000600000001"/>
    <n v="367"/>
    <n v="351.64999399999999"/>
    <n v="355.209991"/>
    <n v="355.209991"/>
    <n v="-11.640015000000005"/>
    <n v="8949500"/>
    <n v="-0.10328638497652499"/>
    <n v="-44"/>
    <n v="-3.1729630120273203E-2"/>
    <n v="426"/>
  </r>
  <r>
    <x v="144"/>
    <d v="1905-07-10T00:00:00"/>
    <x v="6"/>
    <n v="351.92999300000002"/>
    <n v="352.02999899999998"/>
    <n v="334.01998900000001"/>
    <n v="334.959991"/>
    <n v="334.959991"/>
    <n v="-16.970002000000022"/>
    <n v="18260700"/>
    <n v="-0.12557427258805501"/>
    <n v="-82"/>
    <n v="-4.8219823082825512E-2"/>
    <n v="653"/>
  </r>
  <r>
    <x v="145"/>
    <d v="1905-07-10T00:00:00"/>
    <x v="6"/>
    <n v="331.51001000000002"/>
    <n v="342.5"/>
    <n v="328"/>
    <n v="337.45001200000002"/>
    <n v="337.45001200000002"/>
    <n v="5.9400019999999927"/>
    <n v="14085400"/>
    <n v="-9.1451292246520793E-2"/>
    <n v="-46"/>
    <n v="1.791801701553444E-2"/>
    <n v="503"/>
  </r>
  <r>
    <x v="146"/>
    <d v="1905-07-10T00:00:00"/>
    <x v="7"/>
    <n v="335.86999500000002"/>
    <n v="344.41000400000001"/>
    <n v="334.01998900000001"/>
    <n v="338.38000499999998"/>
    <n v="338.38000499999998"/>
    <n v="2.5100099999999657"/>
    <n v="7790500"/>
    <n v="-7.2916666666666602E-2"/>
    <n v="-21"/>
    <n v="7.4731593692969377E-3"/>
    <n v="288"/>
  </r>
  <r>
    <x v="147"/>
    <d v="1905-07-10T00:00:00"/>
    <x v="7"/>
    <n v="337.23001099999999"/>
    <n v="345"/>
    <n v="334.709991"/>
    <n v="344.5"/>
    <n v="344.5"/>
    <n v="7.2699890000000096"/>
    <n v="7131300"/>
    <n v="-2.7108433734939701E-2"/>
    <n v="-9"/>
    <n v="2.1557953808565424E-2"/>
    <n v="332"/>
  </r>
  <r>
    <x v="148"/>
    <d v="1905-07-10T00:00:00"/>
    <x v="7"/>
    <n v="347.75"/>
    <n v="347.85998499999999"/>
    <n v="338.48001099999999"/>
    <n v="343.08999599999999"/>
    <n v="343.08999599999999"/>
    <n v="-4.6600040000000149"/>
    <n v="8848400"/>
    <n v="-0.124600638977635"/>
    <n v="-39"/>
    <n v="-1.3400442846872796E-2"/>
    <n v="313"/>
  </r>
  <r>
    <x v="149"/>
    <d v="1905-07-10T00:00:00"/>
    <x v="7"/>
    <n v="342.86999500000002"/>
    <n v="351.98001099999999"/>
    <n v="341.73998999999998"/>
    <n v="350.92001299999998"/>
    <n v="350.92001299999998"/>
    <n v="8.0500179999999659"/>
    <n v="8198100"/>
    <n v="3.1847133757961E-3"/>
    <n v="1"/>
    <n v="2.3478339071343834E-2"/>
    <n v="314"/>
  </r>
  <r>
    <x v="150"/>
    <d v="1905-07-10T00:00:00"/>
    <x v="7"/>
    <n v="353.23001099999999"/>
    <n v="357.30999800000001"/>
    <n v="349.01001000000002"/>
    <n v="351.82998700000002"/>
    <n v="351.82998700000002"/>
    <n v="-1.4000239999999735"/>
    <n v="7970900"/>
    <n v="-2.3936170212765898E-2"/>
    <n v="-9"/>
    <n v="-3.9634910862655255E-3"/>
    <n v="376"/>
  </r>
  <r>
    <x v="151"/>
    <d v="1905-07-10T00:00:00"/>
    <x v="7"/>
    <n v="352.209991"/>
    <n v="352.290009"/>
    <n v="346.60998499999999"/>
    <n v="347.60998499999999"/>
    <n v="347.60998499999999"/>
    <n v="-4.6000060000000076"/>
    <n v="5394700"/>
    <n v="-9.4915254237288096E-2"/>
    <n v="-28"/>
    <n v="-1.3060407477197339E-2"/>
    <n v="295"/>
  </r>
  <r>
    <x v="152"/>
    <d v="1905-07-10T00:00:00"/>
    <x v="7"/>
    <n v="347.959991"/>
    <n v="352.44000199999999"/>
    <n v="345.82000699999998"/>
    <n v="349.35998499999999"/>
    <n v="349.35998499999999"/>
    <n v="1.3999939999999924"/>
    <n v="4820300"/>
    <n v="-7.8125E-3"/>
    <n v="-2"/>
    <n v="4.0234338320809778E-3"/>
    <n v="256"/>
  </r>
  <r>
    <x v="153"/>
    <d v="1905-07-10T00:00:00"/>
    <x v="7"/>
    <n v="346.91000400000001"/>
    <n v="349.10000600000001"/>
    <n v="344.42001299999998"/>
    <n v="345.86999500000002"/>
    <n v="345.86999500000002"/>
    <n v="-1.0400089999999977"/>
    <n v="4328400"/>
    <n v="-5.94594594594594E-2"/>
    <n v="-11"/>
    <n v="-2.9979216165815664E-3"/>
    <n v="185"/>
  </r>
  <r>
    <x v="154"/>
    <d v="1905-07-10T00:00:00"/>
    <x v="7"/>
    <n v="339.89001500000001"/>
    <n v="347.19000199999999"/>
    <n v="339.07000699999998"/>
    <n v="341.30999800000001"/>
    <n v="341.30999800000001"/>
    <n v="1.419983000000002"/>
    <n v="6888900"/>
    <n v="-6.7226890756302504E-2"/>
    <n v="-24"/>
    <n v="4.1777720360511384E-3"/>
    <n v="357"/>
  </r>
  <r>
    <x v="155"/>
    <d v="1905-07-10T00:00:00"/>
    <x v="7"/>
    <n v="342.08999599999999"/>
    <n v="342.41000400000001"/>
    <n v="336.25"/>
    <n v="337.48998999999998"/>
    <n v="337.48998999999998"/>
    <n v="-4.6000060000000076"/>
    <n v="5805200"/>
    <n v="-0.116207951070336"/>
    <n v="-38"/>
    <n v="-1.3446771474720377E-2"/>
    <n v="327"/>
  </r>
  <r>
    <x v="156"/>
    <d v="1905-07-10T00:00:00"/>
    <x v="7"/>
    <n v="334.02999899999998"/>
    <n v="335.5"/>
    <n v="321"/>
    <n v="326.39999399999999"/>
    <n v="326.39999399999999"/>
    <n v="-7.6300049999999828"/>
    <n v="11784500"/>
    <n v="-0.12533333333333299"/>
    <n v="-47"/>
    <n v="-2.2842274714373733E-2"/>
    <n v="375"/>
  </r>
  <r>
    <x v="157"/>
    <d v="1905-07-10T00:00:00"/>
    <x v="7"/>
    <n v="329.89999399999999"/>
    <n v="331.17001299999998"/>
    <n v="321.209991"/>
    <n v="322.44000199999999"/>
    <n v="322.44000199999999"/>
    <n v="-7.4599919999999997"/>
    <n v="6689700"/>
    <n v="-0.116352201257861"/>
    <n v="-37"/>
    <n v="-2.2612889165435995E-2"/>
    <n v="318"/>
  </r>
  <r>
    <x v="158"/>
    <d v="1905-07-10T00:00:00"/>
    <x v="7"/>
    <n v="319.01001000000002"/>
    <n v="324.36999500000002"/>
    <n v="312.959991"/>
    <n v="316.77999899999998"/>
    <n v="316.77999899999998"/>
    <n v="-2.2300110000000473"/>
    <n v="10407900"/>
    <n v="-0.15291262135922301"/>
    <n v="-63"/>
    <n v="-6.9904107397759938E-3"/>
    <n v="412"/>
  </r>
  <r>
    <x v="159"/>
    <d v="1905-07-10T00:00:00"/>
    <x v="7"/>
    <n v="314.64001500000001"/>
    <n v="331.60000600000001"/>
    <n v="310.92999300000002"/>
    <n v="327.73001099999999"/>
    <n v="327.73001099999999"/>
    <n v="13.089995999999985"/>
    <n v="13591100"/>
    <n v="-1.9637462235649501E-2"/>
    <n v="-13"/>
    <n v="4.1603087261485115E-2"/>
    <n v="662"/>
  </r>
  <r>
    <x v="160"/>
    <d v="1905-07-10T00:00:00"/>
    <x v="7"/>
    <n v="331"/>
    <n v="341.5"/>
    <n v="329.70001200000002"/>
    <n v="338.01998900000001"/>
    <n v="338.01998900000001"/>
    <n v="7.0199890000000096"/>
    <n v="14783200"/>
    <n v="-1.00603621730382E-2"/>
    <n v="-5"/>
    <n v="2.1208425981873141E-2"/>
    <n v="497"/>
  </r>
  <r>
    <x v="161"/>
    <d v="1905-07-10T00:00:00"/>
    <x v="7"/>
    <n v="338.48998999999998"/>
    <n v="346.209991"/>
    <n v="337.41000400000001"/>
    <n v="344.44000199999999"/>
    <n v="344.44000199999999"/>
    <n v="5.9500120000000152"/>
    <n v="8930700"/>
    <n v="3.3132530120481903E-2"/>
    <n v="11"/>
    <n v="1.7578103269759959E-2"/>
    <n v="332"/>
  </r>
  <r>
    <x v="162"/>
    <d v="1905-07-10T00:00:00"/>
    <x v="7"/>
    <n v="348.10998499999999"/>
    <n v="350.07998700000002"/>
    <n v="337.64999399999999"/>
    <n v="339.17001299999998"/>
    <n v="339.17001299999998"/>
    <n v="-8.9399720000000116"/>
    <n v="11336400"/>
    <n v="-4.0625000000000001E-2"/>
    <n v="-13"/>
    <n v="-2.5681458117324647E-2"/>
    <n v="320"/>
  </r>
  <r>
    <x v="163"/>
    <d v="1905-07-10T00:00:00"/>
    <x v="7"/>
    <n v="346"/>
    <n v="359.14999399999999"/>
    <n v="344.540009"/>
    <n v="358.82000699999998"/>
    <n v="358.82000699999998"/>
    <n v="12.820006999999976"/>
    <n v="14729100"/>
    <n v="1.53061224489795E-2"/>
    <n v="9"/>
    <n v="3.7052043352601087E-2"/>
    <n v="588"/>
  </r>
  <r>
    <x v="164"/>
    <d v="1905-07-10T00:00:00"/>
    <x v="7"/>
    <n v="367.14999399999999"/>
    <n v="374.48998999999998"/>
    <n v="360"/>
    <n v="364.57998700000002"/>
    <n v="364.57998700000002"/>
    <n v="-2.5700069999999755"/>
    <n v="17427300"/>
    <n v="-1.5267175572519E-2"/>
    <n v="-8"/>
    <n v="-6.9998829960486817E-3"/>
    <n v="524"/>
  </r>
  <r>
    <x v="165"/>
    <d v="1905-07-10T00:00:00"/>
    <x v="7"/>
    <n v="367.23001099999999"/>
    <n v="369.98998999999998"/>
    <n v="360.38000499999998"/>
    <n v="368.48998999999998"/>
    <n v="368.48998999999998"/>
    <n v="1.2599789999999871"/>
    <n v="9222600"/>
    <n v="-2.4911032028469698E-2"/>
    <n v="-7"/>
    <n v="3.4310349433831731E-3"/>
    <n v="281"/>
  </r>
  <r>
    <x v="166"/>
    <d v="1905-07-10T00:00:00"/>
    <x v="7"/>
    <n v="367.20001200000002"/>
    <n v="369.85998499999999"/>
    <n v="362.91000400000001"/>
    <n v="368.040009"/>
    <n v="368.040009"/>
    <n v="0.83999699999998256"/>
    <n v="8118700"/>
    <n v="-3.8194444444444399E-2"/>
    <n v="-11"/>
    <n v="2.2875734546544146E-3"/>
    <n v="288"/>
  </r>
  <r>
    <x v="167"/>
    <d v="1905-07-10T00:00:00"/>
    <x v="7"/>
    <n v="365"/>
    <n v="376.80999800000001"/>
    <n v="363.540009"/>
    <n v="370.98001099999999"/>
    <n v="370.98001099999999"/>
    <n v="5.9800109999999904"/>
    <n v="10981000"/>
    <n v="4.6568627450980303E-2"/>
    <n v="19"/>
    <n v="1.6383591780821893E-2"/>
    <n v="408"/>
  </r>
  <r>
    <x v="168"/>
    <d v="1905-07-10T00:00:00"/>
    <x v="7"/>
    <n v="370.66000400000001"/>
    <n v="376"/>
    <n v="367.07998700000002"/>
    <n v="367.67999300000002"/>
    <n v="367.67999300000002"/>
    <n v="-2.9800109999999904"/>
    <n v="7943400"/>
    <n v="-1.8939393939393898E-2"/>
    <n v="-5"/>
    <n v="-8.0397425345087679E-3"/>
    <n v="264"/>
  </r>
  <r>
    <x v="169"/>
    <d v="1905-07-10T00:00:00"/>
    <x v="8"/>
    <n v="366.47000100000002"/>
    <n v="368.88000499999998"/>
    <n v="361.26001000000002"/>
    <n v="363.60000600000001"/>
    <n v="363.60000600000001"/>
    <n v="-2.8699950000000172"/>
    <n v="7605200"/>
    <n v="-7.4074074074074001E-2"/>
    <n v="-22"/>
    <n v="-7.8314595796888081E-3"/>
    <n v="297"/>
  </r>
  <r>
    <x v="170"/>
    <d v="1905-07-10T00:00:00"/>
    <x v="8"/>
    <n v="360"/>
    <n v="363.39001500000001"/>
    <n v="335.82998700000002"/>
    <n v="341.17999300000002"/>
    <n v="341.17999300000002"/>
    <n v="-18.820006999999976"/>
    <n v="13092800"/>
    <n v="-9.5982142857142794E-2"/>
    <n v="-43"/>
    <n v="-5.2277797222222151E-2"/>
    <n v="448"/>
  </r>
  <r>
    <x v="171"/>
    <d v="1905-07-10T00:00:00"/>
    <x v="8"/>
    <n v="347.44000199999999"/>
    <n v="356"/>
    <n v="341.98998999999998"/>
    <n v="346.459991"/>
    <n v="346.459991"/>
    <n v="-0.98001099999999042"/>
    <n v="13050200"/>
    <n v="-5.3140096618357398E-2"/>
    <n v="-22"/>
    <n v="-2.8206625442052306E-3"/>
    <n v="414"/>
  </r>
  <r>
    <x v="172"/>
    <d v="1905-07-10T00:00:00"/>
    <x v="8"/>
    <n v="342.20001200000002"/>
    <n v="355.75"/>
    <n v="341.25"/>
    <n v="348.67999300000002"/>
    <n v="348.67999300000002"/>
    <n v="6.4799810000000093"/>
    <n v="9105800"/>
    <n v="-4.1176470588235203E-2"/>
    <n v="-14"/>
    <n v="1.8936238377455138E-2"/>
    <n v="340"/>
  </r>
  <r>
    <x v="173"/>
    <d v="1905-07-10T00:00:00"/>
    <x v="8"/>
    <n v="352.26998900000001"/>
    <n v="352.5"/>
    <n v="343.07998700000002"/>
    <n v="348.41000400000001"/>
    <n v="348.41000400000001"/>
    <n v="-3.8599849999999947"/>
    <n v="5752200"/>
    <n v="-4.0123456790123399E-2"/>
    <n v="-13"/>
    <n v="-1.095746194831259E-2"/>
    <n v="324"/>
  </r>
  <r>
    <x v="174"/>
    <d v="1905-07-10T00:00:00"/>
    <x v="8"/>
    <n v="344.67001299999998"/>
    <n v="356.14999399999999"/>
    <n v="343.89999399999999"/>
    <n v="355.92999300000002"/>
    <n v="355.92999300000002"/>
    <n v="11.259980000000041"/>
    <n v="6198100"/>
    <n v="-9.2879256965943992E-3"/>
    <n v="-3"/>
    <n v="3.2668870442175778E-2"/>
    <n v="323"/>
  </r>
  <r>
    <x v="175"/>
    <d v="1905-07-10T00:00:00"/>
    <x v="8"/>
    <n v="359.07998700000002"/>
    <n v="370.42999300000002"/>
    <n v="356.23998999999998"/>
    <n v="369.95001200000002"/>
    <n v="369.95001200000002"/>
    <n v="10.870024999999998"/>
    <n v="10480800"/>
    <n v="-3.0237580993520499E-2"/>
    <n v="-14"/>
    <n v="3.0271876444063695E-2"/>
    <n v="463"/>
  </r>
  <r>
    <x v="176"/>
    <d v="1905-07-10T00:00:00"/>
    <x v="8"/>
    <n v="371.91000400000001"/>
    <n v="374.08999599999999"/>
    <n v="366.83999599999999"/>
    <n v="368.14999399999999"/>
    <n v="368.14999399999999"/>
    <n v="-3.7600100000000225"/>
    <n v="8366100"/>
    <n v="-2.4793388429752001E-2"/>
    <n v="-9"/>
    <n v="-1.0109999622381823E-2"/>
    <n v="363"/>
  </r>
  <r>
    <x v="177"/>
    <d v="1905-07-10T00:00:00"/>
    <x v="8"/>
    <n v="368.54998799999998"/>
    <n v="371.08999599999999"/>
    <n v="363.459991"/>
    <n v="364.55999800000001"/>
    <n v="364.55999800000001"/>
    <n v="-3.9899899999999775"/>
    <n v="4756400"/>
    <n v="-9.5652173913043398E-2"/>
    <n v="-22"/>
    <n v="-1.0826184045351205E-2"/>
    <n v="230"/>
  </r>
  <r>
    <x v="178"/>
    <d v="1905-07-10T00:00:00"/>
    <x v="8"/>
    <n v="364.22000100000002"/>
    <n v="367.32998700000002"/>
    <n v="349.57000699999998"/>
    <n v="350.35000600000001"/>
    <n v="350.35000600000001"/>
    <n v="-13.869995000000017"/>
    <n v="7071900"/>
    <n v="-0.11501597444089399"/>
    <n v="-36"/>
    <n v="-3.808136555356282E-2"/>
    <n v="313"/>
  </r>
  <r>
    <x v="179"/>
    <d v="1905-07-10T00:00:00"/>
    <x v="8"/>
    <n v="353.67001299999998"/>
    <n v="368.14999399999999"/>
    <n v="351.55999800000001"/>
    <n v="367.64999399999999"/>
    <n v="367.64999399999999"/>
    <n v="13.979981000000009"/>
    <n v="10414000"/>
    <n v="7.3529411764704997E-3"/>
    <n v="3"/>
    <n v="3.9528318732524291E-2"/>
    <n v="408"/>
  </r>
  <r>
    <x v="180"/>
    <d v="1905-07-10T00:00:00"/>
    <x v="8"/>
    <n v="373.95001200000002"/>
    <n v="377.60998499999999"/>
    <n v="359.17001299999998"/>
    <n v="366.959991"/>
    <n v="366.959991"/>
    <n v="-6.9900210000000129"/>
    <n v="11876800"/>
    <n v="-4.7808764940239001E-2"/>
    <n v="-24"/>
    <n v="-1.8692394105338371E-2"/>
    <n v="502"/>
  </r>
  <r>
    <x v="181"/>
    <d v="1905-07-10T00:00:00"/>
    <x v="8"/>
    <n v="370.26001000000002"/>
    <n v="370.26001000000002"/>
    <n v="363.17001299999998"/>
    <n v="365.35998499999999"/>
    <n v="365.35998499999999"/>
    <n v="-4.9000250000000278"/>
    <n v="6768100"/>
    <n v="-4.6448087431693902E-2"/>
    <n v="-17"/>
    <n v="-1.3234010877923402E-2"/>
    <n v="366"/>
  </r>
  <r>
    <x v="182"/>
    <d v="1905-07-10T00:00:00"/>
    <x v="8"/>
    <n v="366.58999599999999"/>
    <n v="372.22000100000002"/>
    <n v="360.73998999999998"/>
    <n v="361.19000199999999"/>
    <n v="361.19000199999999"/>
    <n v="-5.3999939999999924"/>
    <n v="11930600"/>
    <n v="-1.5974440894568599E-2"/>
    <n v="-5"/>
    <n v="-1.4730336503781714E-2"/>
    <n v="313"/>
  </r>
  <r>
    <x v="183"/>
    <d v="1905-07-10T00:00:00"/>
    <x v="8"/>
    <n v="359"/>
    <n v="373.64001500000001"/>
    <n v="354.32998700000002"/>
    <n v="369.60998499999999"/>
    <n v="369.60998499999999"/>
    <n v="10.609984999999995"/>
    <n v="9322500"/>
    <n v="1.1709601873536301E-2"/>
    <n v="5"/>
    <n v="2.9554275766016699E-2"/>
    <n v="427"/>
  </r>
  <r>
    <x v="184"/>
    <d v="1905-07-10T00:00:00"/>
    <x v="8"/>
    <n v="370.23001099999999"/>
    <n v="371.33999599999999"/>
    <n v="364.48998999999998"/>
    <n v="369.42999300000002"/>
    <n v="369.42999300000002"/>
    <n v="-0.80001799999996592"/>
    <n v="6799800"/>
    <n v="-1.1527377521613799E-2"/>
    <n v="-4"/>
    <n v="-2.1608675046063891E-3"/>
    <n v="347"/>
  </r>
  <r>
    <x v="185"/>
    <d v="1905-07-10T00:00:00"/>
    <x v="8"/>
    <n v="373.58999599999999"/>
    <n v="382"/>
    <n v="370.88000499999998"/>
    <n v="377.88000499999998"/>
    <n v="377.88000499999998"/>
    <n v="4.2900089999999977"/>
    <n v="13799700"/>
    <n v="3.8022813688212899E-2"/>
    <n v="20"/>
    <n v="1.1483200958089889E-2"/>
    <n v="526"/>
  </r>
  <r>
    <x v="186"/>
    <d v="1905-07-10T00:00:00"/>
    <x v="8"/>
    <n v="379.86999500000002"/>
    <n v="383.20001200000002"/>
    <n v="376"/>
    <n v="380.709991"/>
    <n v="380.709991"/>
    <n v="0.83999599999998509"/>
    <n v="7326200"/>
    <n v="-2.97297297297297E-2"/>
    <n v="-11"/>
    <n v="2.2112723064636498E-3"/>
    <n v="370"/>
  </r>
  <r>
    <x v="187"/>
    <d v="1905-07-10T00:00:00"/>
    <x v="8"/>
    <n v="379.23998999999998"/>
    <n v="380.79998799999998"/>
    <n v="373.73001099999999"/>
    <n v="374.13000499999998"/>
    <n v="374.13000499999998"/>
    <n v="-5.1099849999999947"/>
    <n v="7114900"/>
    <n v="-5.8620689655172399E-2"/>
    <n v="-17"/>
    <n v="-1.3474277857670008E-2"/>
    <n v="290"/>
  </r>
  <r>
    <x v="188"/>
    <d v="1905-07-10T00:00:00"/>
    <x v="9"/>
    <n v="375.85000600000001"/>
    <n v="386.10998499999999"/>
    <n v="375.58999599999999"/>
    <n v="381.42999300000002"/>
    <n v="381.42999300000002"/>
    <n v="5.5799870000000169"/>
    <n v="8376600"/>
    <n v="1.3297872340425501E-2"/>
    <n v="5"/>
    <n v="1.4846313451967902E-2"/>
    <n v="376"/>
  </r>
  <r>
    <x v="189"/>
    <d v="1905-07-10T00:00:00"/>
    <x v="9"/>
    <n v="384.38000499999998"/>
    <n v="386.79998799999998"/>
    <n v="373.82998700000002"/>
    <n v="377.14001500000001"/>
    <n v="377.14001500000001"/>
    <n v="-7.2399899999999775"/>
    <n v="8638700"/>
    <n v="-5.2631578947368397E-2"/>
    <n v="-17"/>
    <n v="-1.8835501081800491E-2"/>
    <n v="323"/>
  </r>
  <r>
    <x v="190"/>
    <d v="1905-07-10T00:00:00"/>
    <x v="9"/>
    <n v="378.52999899999998"/>
    <n v="380.92999300000002"/>
    <n v="374.88000499999998"/>
    <n v="377.04998799999998"/>
    <n v="377.04998799999998"/>
    <n v="-1.4800109999999904"/>
    <n v="5798600"/>
    <n v="-6.9387755102040802E-2"/>
    <n v="-17"/>
    <n v="-3.9098909040495636E-3"/>
    <n v="245"/>
  </r>
  <r>
    <x v="191"/>
    <d v="1905-07-10T00:00:00"/>
    <x v="9"/>
    <n v="375.88000499999998"/>
    <n v="375.92001299999998"/>
    <n v="360.39999399999999"/>
    <n v="363.64999399999999"/>
    <n v="363.64999399999999"/>
    <n v="-12.23001099999999"/>
    <n v="9074400"/>
    <n v="-8.9820359281437098E-2"/>
    <n v="-30"/>
    <n v="-3.2537008719045829E-2"/>
    <n v="334"/>
  </r>
  <r>
    <x v="192"/>
    <d v="1905-07-10T00:00:00"/>
    <x v="9"/>
    <n v="359.76998900000001"/>
    <n v="363.5"/>
    <n v="343"/>
    <n v="351.35000600000001"/>
    <n v="351.35000600000001"/>
    <n v="-8.419983000000002"/>
    <n v="13523000"/>
    <n v="-0.121052631578947"/>
    <n v="-46"/>
    <n v="-2.3403794806242169E-2"/>
    <n v="380"/>
  </r>
  <r>
    <x v="193"/>
    <d v="1905-07-10T00:00:00"/>
    <x v="9"/>
    <n v="345.17999300000002"/>
    <n v="352.95001200000002"/>
    <n v="338.10998499999999"/>
    <n v="349.10000600000001"/>
    <n v="349.10000600000001"/>
    <n v="3.9200129999999831"/>
    <n v="12375500"/>
    <n v="-5.8309037900874001E-3"/>
    <n v="-2"/>
    <n v="1.1356431657381668E-2"/>
    <n v="343"/>
  </r>
  <r>
    <x v="194"/>
    <d v="1905-07-10T00:00:00"/>
    <x v="9"/>
    <n v="348.48001099999999"/>
    <n v="358.72000100000002"/>
    <n v="347.08999599999999"/>
    <n v="355.709991"/>
    <n v="355.709991"/>
    <n v="7.2299800000000118"/>
    <n v="8755000"/>
    <n v="1.56739811912225E-2"/>
    <n v="5"/>
    <n v="2.0747187132061966E-2"/>
    <n v="319"/>
  </r>
  <r>
    <x v="195"/>
    <d v="1905-07-10T00:00:00"/>
    <x v="9"/>
    <n v="353.51998900000001"/>
    <n v="355.14999399999999"/>
    <n v="325.39001500000001"/>
    <n v="325.89001500000001"/>
    <n v="325.89001500000001"/>
    <n v="-27.629974000000004"/>
    <n v="17183100"/>
    <n v="-0.13066202090592299"/>
    <n v="-75"/>
    <n v="-7.8156751696436613E-2"/>
    <n v="574"/>
  </r>
  <r>
    <x v="196"/>
    <d v="1905-07-10T00:00:00"/>
    <x v="9"/>
    <n v="324.94000199999999"/>
    <n v="334.20001200000002"/>
    <n v="315.80999800000001"/>
    <n v="321.10000600000001"/>
    <n v="321.10000600000001"/>
    <n v="-3.8399959999999851"/>
    <n v="16082100"/>
    <n v="-0.103578154425612"/>
    <n v="-55"/>
    <n v="-1.1817553937234189E-2"/>
    <n v="531"/>
  </r>
  <r>
    <x v="197"/>
    <d v="1905-07-10T00:00:00"/>
    <x v="9"/>
    <n v="339.57000699999998"/>
    <n v="341.29998799999998"/>
    <n v="328.89999399999999"/>
    <n v="339.55999800000001"/>
    <n v="339.55999800000001"/>
    <n v="-1.0008999999968182E-2"/>
    <n v="14870800"/>
    <n v="-9.8619329388560002E-3"/>
    <n v="-5"/>
    <n v="-2.9475512541271592E-5"/>
    <n v="507"/>
  </r>
  <r>
    <x v="198"/>
    <d v="1905-07-10T00:00:00"/>
    <x v="9"/>
    <n v="337.63000499999998"/>
    <n v="339.209991"/>
    <n v="326.92999300000002"/>
    <n v="333.13000499999998"/>
    <n v="333.13000499999998"/>
    <n v="-4.5"/>
    <n v="11215000"/>
    <n v="-4.7445255474452497E-2"/>
    <n v="-26"/>
    <n v="-1.3328199310958752E-2"/>
    <n v="548"/>
  </r>
  <r>
    <x v="199"/>
    <d v="1905-07-10T00:00:00"/>
    <x v="9"/>
    <n v="337.23998999999998"/>
    <n v="347.95001200000002"/>
    <n v="330.55999800000001"/>
    <n v="346.39999399999999"/>
    <n v="346.39999399999999"/>
    <n v="9.1600040000000149"/>
    <n v="20156400"/>
    <n v="-3.23422013562858E-2"/>
    <n v="-62"/>
    <n v="2.7161677949284768E-2"/>
    <n v="1917"/>
  </r>
  <r>
    <x v="200"/>
    <d v="1905-07-10T00:00:00"/>
    <x v="9"/>
    <n v="378.32998700000002"/>
    <n v="380"/>
    <n v="356.5"/>
    <n v="364.70001200000002"/>
    <n v="364.70001200000002"/>
    <n v="-13.629975000000002"/>
    <n v="32610900"/>
    <n v="-0.121440085975282"/>
    <n v="-226"/>
    <n v="-3.6026684292408469E-2"/>
    <n v="1861"/>
  </r>
  <r>
    <x v="201"/>
    <d v="1905-07-10T00:00:00"/>
    <x v="9"/>
    <n v="360.67001299999998"/>
    <n v="362.20001200000002"/>
    <n v="346.04998799999998"/>
    <n v="346.709991"/>
    <n v="346.709991"/>
    <n v="-13.960021999999981"/>
    <n v="18461000"/>
    <n v="-0.142436149312377"/>
    <n v="-145"/>
    <n v="-3.8705801693582939E-2"/>
    <n v="1018"/>
  </r>
  <r>
    <x v="202"/>
    <d v="1905-07-10T00:00:00"/>
    <x v="9"/>
    <n v="351"/>
    <n v="355.79998799999998"/>
    <n v="332.20001200000002"/>
    <n v="332.67001299999998"/>
    <n v="332.67001299999998"/>
    <n v="-18.329987000000017"/>
    <n v="16717200"/>
    <n v="-0.172885572139303"/>
    <n v="-139"/>
    <n v="-5.2222185185185233E-2"/>
    <n v="804"/>
  </r>
  <r>
    <x v="203"/>
    <d v="1905-07-10T00:00:00"/>
    <x v="9"/>
    <n v="333.10000600000001"/>
    <n v="335.79998799999998"/>
    <n v="320.33999599999999"/>
    <n v="329.540009"/>
    <n v="329.540009"/>
    <n v="-3.5599970000000098"/>
    <n v="17097200"/>
    <n v="-0.15855354659248899"/>
    <n v="-114"/>
    <n v="-1.0687472038052169E-2"/>
    <n v="719"/>
  </r>
  <r>
    <x v="204"/>
    <d v="1905-07-10T00:00:00"/>
    <x v="9"/>
    <n v="318"/>
    <n v="336.57998700000002"/>
    <n v="316.76998900000001"/>
    <n v="333.16000400000001"/>
    <n v="333.16000400000001"/>
    <n v="15.160004000000015"/>
    <n v="14907300"/>
    <n v="-0.10256410256410201"/>
    <n v="-52"/>
    <n v="4.7672968553459164E-2"/>
    <n v="507"/>
  </r>
  <r>
    <x v="205"/>
    <d v="1905-07-10T00:00:00"/>
    <x v="9"/>
    <n v="332.27999899999998"/>
    <n v="333"/>
    <n v="300.73001099999999"/>
    <n v="301.82998700000002"/>
    <n v="301.82998700000002"/>
    <n v="-30.450011999999958"/>
    <n v="19039300"/>
    <n v="-0.16608391608391601"/>
    <n v="-95"/>
    <n v="-9.1639617466111642E-2"/>
    <n v="572"/>
  </r>
  <r>
    <x v="206"/>
    <d v="1905-07-10T00:00:00"/>
    <x v="9"/>
    <n v="307.11999500000002"/>
    <n v="319.94000199999999"/>
    <n v="305.25"/>
    <n v="312.86999500000002"/>
    <n v="312.86999500000002"/>
    <n v="5.75"/>
    <n v="13346900"/>
    <n v="-0.109048723897911"/>
    <n v="-47"/>
    <n v="1.8722323826555153E-2"/>
    <n v="431"/>
  </r>
  <r>
    <x v="207"/>
    <d v="1905-07-10T00:00:00"/>
    <x v="9"/>
    <n v="300.51001000000002"/>
    <n v="313.98998999999998"/>
    <n v="292.29998799999998"/>
    <n v="299.82998700000002"/>
    <n v="299.82998700000002"/>
    <n v="-0.6800230000000056"/>
    <n v="19616000"/>
    <n v="-0.122448979591836"/>
    <n v="-60"/>
    <n v="-2.2628963341354436E-3"/>
    <n v="490"/>
  </r>
  <r>
    <x v="208"/>
    <d v="1905-07-10T00:00:00"/>
    <x v="9"/>
    <n v="305.26001000000002"/>
    <n v="307.89001500000001"/>
    <n v="275.39999399999999"/>
    <n v="284.83999599999999"/>
    <n v="284.83999599999999"/>
    <n v="-20.420014000000037"/>
    <n v="21698800"/>
    <n v="-0.138225255972696"/>
    <n v="-81"/>
    <n v="-6.6893839124227361E-2"/>
    <n v="586"/>
  </r>
  <r>
    <x v="209"/>
    <d v="1905-07-10T00:00:00"/>
    <x v="9"/>
    <n v="275.57000699999998"/>
    <n v="290.51998900000001"/>
    <n v="271.209991"/>
    <n v="285.80999800000001"/>
    <n v="285.80999800000001"/>
    <n v="10.239991000000032"/>
    <n v="23685700"/>
    <n v="-0.12167300380228099"/>
    <n v="-64"/>
    <n v="3.7159308850327942E-2"/>
    <n v="526"/>
  </r>
  <r>
    <x v="210"/>
    <d v="1905-07-10T00:00:00"/>
    <x v="9"/>
    <n v="297.76998900000001"/>
    <n v="311.5"/>
    <n v="295.04998799999998"/>
    <n v="301.77999899999998"/>
    <n v="301.77999899999998"/>
    <n v="4.0100099999999657"/>
    <n v="20360300"/>
    <n v="-1.85567010309278E-2"/>
    <n v="-9"/>
    <n v="1.3466803734878619E-2"/>
    <n v="485"/>
  </r>
  <r>
    <x v="211"/>
    <d v="1905-07-10T00:00:00"/>
    <x v="10"/>
    <n v="304.58999599999999"/>
    <n v="318.45001200000002"/>
    <n v="296.67001299999998"/>
    <n v="317.38000499999998"/>
    <n v="317.38000499999998"/>
    <n v="12.790008999999998"/>
    <n v="15121500"/>
    <n v="-5.0632911392405E-2"/>
    <n v="-24"/>
    <n v="4.1990903076146988E-2"/>
    <n v="474"/>
  </r>
  <r>
    <x v="212"/>
    <d v="1905-07-10T00:00:00"/>
    <x v="10"/>
    <n v="318"/>
    <n v="321.88000499999998"/>
    <n v="308.32998700000002"/>
    <n v="309.10000600000001"/>
    <n v="309.10000600000001"/>
    <n v="-8.8999939999999924"/>
    <n v="13404600"/>
    <n v="-8.1967213114753995E-2"/>
    <n v="-30"/>
    <n v="-2.7987402515723247E-2"/>
    <n v="366"/>
  </r>
  <r>
    <x v="213"/>
    <d v="1905-07-10T00:00:00"/>
    <x v="10"/>
    <n v="311.10000600000001"/>
    <n v="317.52999899999998"/>
    <n v="303.73998999999998"/>
    <n v="315.44000199999999"/>
    <n v="315.44000199999999"/>
    <n v="4.3399959999999851"/>
    <n v="10283000"/>
    <n v="-1.48809523809523E-2"/>
    <n v="-5"/>
    <n v="1.3950485105422933E-2"/>
    <n v="336"/>
  </r>
  <r>
    <x v="214"/>
    <d v="1905-07-10T00:00:00"/>
    <x v="10"/>
    <n v="314.76001000000002"/>
    <n v="320.22000100000002"/>
    <n v="305.29998799999998"/>
    <n v="310.83999599999999"/>
    <n v="310.83999599999999"/>
    <n v="-3.9200140000000374"/>
    <n v="9710400"/>
    <n v="-2.14067278287461E-2"/>
    <n v="-7"/>
    <n v="-1.2453977238087001E-2"/>
    <n v="327"/>
  </r>
  <r>
    <x v="215"/>
    <d v="1905-07-10T00:00:00"/>
    <x v="10"/>
    <n v="312.89999399999999"/>
    <n v="328.55999800000001"/>
    <n v="311"/>
    <n v="327.5"/>
    <n v="327.5"/>
    <n v="14.600006000000008"/>
    <n v="13328300"/>
    <n v="-6.5533980582524201E-2"/>
    <n v="-27"/>
    <n v="4.666029491838216E-2"/>
    <n v="412"/>
  </r>
  <r>
    <x v="216"/>
    <d v="1905-07-10T00:00:00"/>
    <x v="10"/>
    <n v="328"/>
    <n v="332.04998799999998"/>
    <n v="316.60998499999999"/>
    <n v="317.92001299999998"/>
    <n v="317.92001299999998"/>
    <n v="-10.079987000000017"/>
    <n v="11023900"/>
    <n v="-7.4879227053140096E-2"/>
    <n v="-31"/>
    <n v="-3.0731667682926882E-2"/>
    <n v="414"/>
  </r>
  <r>
    <x v="217"/>
    <d v="1905-07-10T00:00:00"/>
    <x v="10"/>
    <n v="311.07000699999998"/>
    <n v="312.98001099999999"/>
    <n v="298.01001000000002"/>
    <n v="303.47000100000002"/>
    <n v="303.47000100000002"/>
    <n v="-7.6000059999999507"/>
    <n v="13480800"/>
    <n v="-7.9822616407982203E-2"/>
    <n v="-36"/>
    <n v="-2.4431818654891892E-2"/>
    <n v="451"/>
  </r>
  <r>
    <x v="218"/>
    <d v="1905-07-10T00:00:00"/>
    <x v="10"/>
    <n v="300"/>
    <n v="302.48998999999998"/>
    <n v="290.63000499999998"/>
    <n v="294.07000699999998"/>
    <n v="294.07000699999998"/>
    <n v="-5.9299930000000245"/>
    <n v="10924800"/>
    <n v="-3.8585209003215402E-2"/>
    <n v="-12"/>
    <n v="-1.9766643333333413E-2"/>
    <n v="311"/>
  </r>
  <r>
    <x v="219"/>
    <d v="1905-07-10T00:00:00"/>
    <x v="10"/>
    <n v="295"/>
    <n v="303.54998799999998"/>
    <n v="289.10000600000001"/>
    <n v="294.39999399999999"/>
    <n v="294.39999399999999"/>
    <n v="-0.60000600000000759"/>
    <n v="12232200"/>
    <n v="-7.2847682119205295E-2"/>
    <n v="-22"/>
    <n v="-2.0339186440678225E-3"/>
    <n v="302"/>
  </r>
  <r>
    <x v="220"/>
    <d v="1905-07-10T00:00:00"/>
    <x v="10"/>
    <n v="300.39999399999999"/>
    <n v="301.83999599999999"/>
    <n v="278.29998799999998"/>
    <n v="286.73001099999999"/>
    <n v="286.73001099999999"/>
    <n v="-13.669983000000002"/>
    <n v="16853600"/>
    <n v="-0.115555555555555"/>
    <n v="-52"/>
    <n v="-4.5505936328347603E-2"/>
    <n v="450"/>
  </r>
  <r>
    <x v="221"/>
    <d v="1905-07-10T00:00:00"/>
    <x v="10"/>
    <n v="285.51001000000002"/>
    <n v="292.5"/>
    <n v="282.16000400000001"/>
    <n v="290.05999800000001"/>
    <n v="290.05999800000001"/>
    <n v="4.5499879999999848"/>
    <n v="9967100"/>
    <n v="-6.25E-2"/>
    <n v="-19"/>
    <n v="1.5936351933860338E-2"/>
    <n v="304"/>
  </r>
  <r>
    <x v="222"/>
    <d v="1905-07-10T00:00:00"/>
    <x v="10"/>
    <n v="287.14001500000001"/>
    <n v="291.72000100000002"/>
    <n v="281"/>
    <n v="286.209991"/>
    <n v="286.209991"/>
    <n v="-0.93002400000000307"/>
    <n v="9099500"/>
    <n v="-0.19421487603305701"/>
    <n v="-47"/>
    <n v="-3.2389216111171513E-3"/>
    <n v="242"/>
  </r>
  <r>
    <x v="223"/>
    <d v="1905-07-10T00:00:00"/>
    <x v="10"/>
    <n v="283.790009"/>
    <n v="285.08999599999999"/>
    <n v="269.14999399999999"/>
    <n v="270.60000600000001"/>
    <n v="270.60000600000001"/>
    <n v="-13.19000299999999"/>
    <n v="12993800"/>
    <n v="-0.128540305010893"/>
    <n v="-59"/>
    <n v="-4.6478038626088458E-2"/>
    <n v="459"/>
  </r>
  <r>
    <x v="224"/>
    <d v="1905-07-10T00:00:00"/>
    <x v="10"/>
    <n v="254.63000500000001"/>
    <n v="276.33999599999999"/>
    <n v="250"/>
    <n v="266.98001099999999"/>
    <n v="266.98001099999999"/>
    <n v="12.350005999999979"/>
    <n v="16693800"/>
    <n v="-0.129087779690189"/>
    <n v="-75"/>
    <n v="4.8501770245026617E-2"/>
    <n v="581"/>
  </r>
  <r>
    <x v="225"/>
    <d v="1905-07-10T00:00:00"/>
    <x v="10"/>
    <n v="274.42001299999998"/>
    <n v="275.33999599999999"/>
    <n v="261.51001000000002"/>
    <n v="262.13000499999998"/>
    <n v="262.13000499999998"/>
    <n v="-12.290008"/>
    <n v="11023000"/>
    <n v="-9.2783505154639095E-2"/>
    <n v="-36"/>
    <n v="-4.4785392528933383E-2"/>
    <n v="388"/>
  </r>
  <r>
    <x v="226"/>
    <d v="1905-07-10T00:00:00"/>
    <x v="10"/>
    <n v="260.10998499999999"/>
    <n v="265.5"/>
    <n v="256.83999599999999"/>
    <n v="258.82000699999998"/>
    <n v="258.82000699999998"/>
    <n v="-1.2899780000000192"/>
    <n v="5245100"/>
    <n v="-0.112"/>
    <n v="-28"/>
    <n v="-4.9593559432177092E-3"/>
    <n v="250"/>
  </r>
  <r>
    <x v="227"/>
    <d v="1905-07-10T00:00:00"/>
    <x v="10"/>
    <n v="260.54998799999998"/>
    <n v="266.25"/>
    <n v="253.800003"/>
    <n v="261.42999300000002"/>
    <n v="261.42999300000002"/>
    <n v="0.88000500000003967"/>
    <n v="12498600"/>
    <n v="-7.9411764705882307E-2"/>
    <n v="-27"/>
    <n v="3.3774900807135703E-3"/>
    <n v="340"/>
  </r>
  <r>
    <x v="228"/>
    <d v="1905-07-10T00:00:00"/>
    <x v="10"/>
    <n v="259.23998999999998"/>
    <n v="269.07998700000002"/>
    <n v="256.14001500000001"/>
    <n v="266.63000499999998"/>
    <n v="266.63000499999998"/>
    <n v="7.3900150000000053"/>
    <n v="11149500"/>
    <n v="-3.7533512064343098E-2"/>
    <n v="-14"/>
    <n v="2.8506462293876829E-2"/>
    <n v="373"/>
  </r>
  <r>
    <x v="229"/>
    <d v="1905-07-10T00:00:00"/>
    <x v="10"/>
    <n v="271.98001099999999"/>
    <n v="284"/>
    <n v="263.33999599999999"/>
    <n v="282.64999399999999"/>
    <n v="282.64999399999999"/>
    <n v="10.669983000000002"/>
    <n v="14801300"/>
    <n v="-2.1505376344085999E-2"/>
    <n v="-10"/>
    <n v="3.9230761704763674E-2"/>
    <n v="465"/>
  </r>
  <r>
    <x v="230"/>
    <d v="1905-07-10T00:00:00"/>
    <x v="10"/>
    <n v="282.32000699999998"/>
    <n v="290.48998999999998"/>
    <n v="275.5"/>
    <n v="288.75"/>
    <n v="288.75"/>
    <n v="6.4299930000000245"/>
    <n v="15431500"/>
    <n v="-2.0253164556962001E-2"/>
    <n v="-8"/>
    <n v="2.2775548457676344E-2"/>
    <n v="395"/>
  </r>
  <r>
    <x v="231"/>
    <d v="1905-07-10T00:00:00"/>
    <x v="10"/>
    <n v="288"/>
    <n v="290.80999800000001"/>
    <n v="283.05999800000001"/>
    <n v="286.13000499999998"/>
    <n v="286.13000499999998"/>
    <n v="-1.8699950000000172"/>
    <n v="11860100"/>
    <n v="-9.1205211726384294E-2"/>
    <n v="-28"/>
    <n v="-6.4930381944445044E-3"/>
    <n v="307"/>
  </r>
  <r>
    <x v="232"/>
    <d v="1905-07-10T00:00:00"/>
    <x v="11"/>
    <n v="293.19000199999999"/>
    <n v="298.72000100000002"/>
    <n v="284.57998700000002"/>
    <n v="290.29998799999998"/>
    <n v="290.29998799999998"/>
    <n v="-2.8900140000000079"/>
    <n v="14117400"/>
    <n v="-0.102702702702702"/>
    <n v="-38"/>
    <n v="-9.857136942889368E-3"/>
    <n v="370"/>
  </r>
  <r>
    <x v="233"/>
    <d v="1905-07-10T00:00:00"/>
    <x v="11"/>
    <n v="288.13000499999998"/>
    <n v="295.73998999999998"/>
    <n v="274.72000100000002"/>
    <n v="275.32998700000002"/>
    <n v="275.32998700000002"/>
    <n v="-12.800017999999966"/>
    <n v="12800600"/>
    <n v="-0.108433734939759"/>
    <n v="-36"/>
    <n v="-4.4424453468495814E-2"/>
    <n v="332"/>
  </r>
  <r>
    <x v="234"/>
    <d v="1905-07-10T00:00:00"/>
    <x v="11"/>
    <n v="268.32998700000002"/>
    <n v="283.22000100000002"/>
    <n v="267.14001500000001"/>
    <n v="282.88000499999998"/>
    <n v="282.88000499999998"/>
    <n v="14.550017999999966"/>
    <n v="13074300"/>
    <n v="-6.9230769230769207E-2"/>
    <n v="-27"/>
    <n v="5.4224345786592854E-2"/>
    <n v="390"/>
  </r>
  <r>
    <x v="235"/>
    <d v="1905-07-10T00:00:00"/>
    <x v="11"/>
    <n v="282.48001099999999"/>
    <n v="284.209991"/>
    <n v="263.38000499999998"/>
    <n v="265.14001500000001"/>
    <n v="265.14001500000001"/>
    <n v="-17.339995999999985"/>
    <n v="12466700"/>
    <n v="-0.116040955631399"/>
    <n v="-34"/>
    <n v="-6.138486025476679E-2"/>
    <n v="293"/>
  </r>
  <r>
    <x v="236"/>
    <d v="1905-07-10T00:00:00"/>
    <x v="11"/>
    <n v="264.19000199999999"/>
    <n v="271.17999300000002"/>
    <n v="260.60998499999999"/>
    <n v="269.70001200000002"/>
    <n v="269.70001200000002"/>
    <n v="5.5100100000000225"/>
    <n v="9605600"/>
    <n v="-0.109540636042402"/>
    <n v="-31"/>
    <n v="2.085623966950885E-2"/>
    <n v="283"/>
  </r>
  <r>
    <x v="237"/>
    <d v="1905-07-10T00:00:00"/>
    <x v="11"/>
    <n v="274.07998700000002"/>
    <n v="274.5"/>
    <n v="262.76001000000002"/>
    <n v="265.32000699999998"/>
    <n v="265.32000699999998"/>
    <n v="-8.7599800000000414"/>
    <n v="9843200"/>
    <n v="-0.173633440514469"/>
    <n v="-54"/>
    <n v="-3.1961399647906584E-2"/>
    <n v="311"/>
  </r>
  <r>
    <x v="238"/>
    <d v="1905-07-10T00:00:00"/>
    <x v="11"/>
    <n v="267.66000400000001"/>
    <n v="281.76998900000001"/>
    <n v="266.48001099999999"/>
    <n v="274.88000499999998"/>
    <n v="274.88000499999998"/>
    <n v="7.2200009999999679"/>
    <n v="11456700"/>
    <n v="-5.0772626931567297E-2"/>
    <n v="-23"/>
    <n v="2.69745232462896E-2"/>
    <n v="453"/>
  </r>
  <r>
    <x v="239"/>
    <d v="1905-07-10T00:00:00"/>
    <x v="11"/>
    <n v="277.64001500000001"/>
    <n v="279.32000699999998"/>
    <n v="271.85000600000001"/>
    <n v="276.01998900000001"/>
    <n v="276.01998900000001"/>
    <n v="-1.6200259999999957"/>
    <n v="8379300"/>
    <n v="-0.126811594202898"/>
    <n v="-35"/>
    <n v="-5.8349874386802482E-3"/>
    <n v="276"/>
  </r>
  <r>
    <x v="240"/>
    <d v="1905-07-10T00:00:00"/>
    <x v="11"/>
    <n v="271.80999800000001"/>
    <n v="277.67001299999998"/>
    <n v="265"/>
    <n v="266.83999599999999"/>
    <n v="266.83999599999999"/>
    <n v="-4.9700020000000222"/>
    <n v="9915300"/>
    <n v="-0.13028169014084501"/>
    <n v="-37"/>
    <n v="-1.8284838808615207E-2"/>
    <n v="284"/>
  </r>
  <r>
    <x v="241"/>
    <d v="1905-07-10T00:00:00"/>
    <x v="11"/>
    <n v="266.51001000000002"/>
    <n v="272.98001099999999"/>
    <n v="261.07998700000002"/>
    <n v="262.79998799999998"/>
    <n v="262.79998799999998"/>
    <n v="-3.7100220000000377"/>
    <n v="9634700"/>
    <n v="-9.7402597402597393E-2"/>
    <n v="-30"/>
    <n v="-1.3920760424721148E-2"/>
    <n v="308"/>
  </r>
  <r>
    <x v="242"/>
    <d v="1905-07-10T00:00:00"/>
    <x v="11"/>
    <n v="263.29998799999998"/>
    <n v="275.75"/>
    <n v="263.290009"/>
    <n v="270.94000199999999"/>
    <n v="270.94000199999999"/>
    <n v="7.6400140000000079"/>
    <n v="10350100"/>
    <n v="-6.9306930693069299E-2"/>
    <n v="-28"/>
    <n v="2.901638567488278E-2"/>
    <n v="404"/>
  </r>
  <r>
    <x v="243"/>
    <d v="1905-07-10T00:00:00"/>
    <x v="11"/>
    <n v="269.959991"/>
    <n v="280.86999500000002"/>
    <n v="263.76998900000001"/>
    <n v="266.76998900000001"/>
    <n v="266.76998900000001"/>
    <n v="-3.1900019999999927"/>
    <n v="13788400"/>
    <n v="-7.8886310904872303E-2"/>
    <n v="-34"/>
    <n v="-1.1816573219547903E-2"/>
    <n v="431"/>
  </r>
  <r>
    <x v="244"/>
    <d v="1905-07-10T00:00:00"/>
    <x v="11"/>
    <n v="264.64001500000001"/>
    <n v="269.89999399999999"/>
    <n v="251.88000500000001"/>
    <n v="260.57998700000002"/>
    <n v="260.57998700000002"/>
    <n v="-4.0600279999999884"/>
    <n v="16792900"/>
    <n v="-0.16432865731462901"/>
    <n v="-82"/>
    <n v="-1.5341701065124216E-2"/>
    <n v="499"/>
  </r>
  <r>
    <x v="245"/>
    <d v="1905-07-10T00:00:00"/>
    <x v="11"/>
    <n v="263.82998700000002"/>
    <n v="264.5"/>
    <n v="241.28999300000001"/>
    <n v="246.38999899999999"/>
    <n v="246.38999899999999"/>
    <n v="-17.439988000000028"/>
    <n v="21397600"/>
    <n v="-0.16299559471365599"/>
    <n v="-74"/>
    <n v="-6.6103130270783156E-2"/>
    <n v="454"/>
  </r>
  <r>
    <x v="246"/>
    <d v="1905-07-10T00:00:00"/>
    <x v="11"/>
    <n v="242"/>
    <n v="250.64999399999999"/>
    <n v="233.679993"/>
    <n v="233.88000500000001"/>
    <n v="233.88000500000001"/>
    <n v="-8.1199949999999887"/>
    <n v="9547600"/>
    <n v="-0.10891089108910799"/>
    <n v="-33"/>
    <n v="-3.3553698347107391E-2"/>
    <n v="303"/>
  </r>
  <r>
    <x v="247"/>
    <d v="1905-07-10T00:00:00"/>
    <x v="11"/>
    <n v="233.91999799999999"/>
    <n v="254.5"/>
    <n v="231.229996"/>
    <n v="253.66999799999999"/>
    <n v="253.66999799999999"/>
    <n v="19.75"/>
    <n v="14402700"/>
    <n v="-6.9696969696969702E-2"/>
    <n v="-23"/>
    <n v="8.4430575277279207E-2"/>
    <n v="330"/>
  </r>
  <r>
    <x v="248"/>
    <d v="1905-07-10T00:00:00"/>
    <x v="11"/>
    <n v="250.11000100000001"/>
    <n v="255.58999600000001"/>
    <n v="240.10000600000001"/>
    <n v="255.570007"/>
    <n v="255.570007"/>
    <n v="5.4600059999999928"/>
    <n v="12235200"/>
    <n v="-8.8825214899713401E-2"/>
    <n v="-31"/>
    <n v="2.1830418528525745E-2"/>
    <n v="349"/>
  </r>
  <r>
    <x v="249"/>
    <d v="1905-07-10T00:00:00"/>
    <x v="11"/>
    <n v="257.94000199999999"/>
    <n v="261.91000400000001"/>
    <n v="249.800003"/>
    <n v="256.07998700000002"/>
    <n v="256.07998700000002"/>
    <n v="-1.8600149999999758"/>
    <n v="10992800"/>
    <n v="-6.4516129032258004E-3"/>
    <n v="-2"/>
    <n v="-7.2110373946572886E-3"/>
    <n v="310"/>
  </r>
  <r>
    <x v="250"/>
    <d v="1905-07-10T00:00:00"/>
    <x v="11"/>
    <n v="260.16000400000001"/>
    <n v="270.10000600000001"/>
    <n v="260"/>
    <n v="267.66000400000001"/>
    <n v="267.66000400000001"/>
    <n v="7.5"/>
    <n v="13508900"/>
    <n v="-2.9891304347826001E-2"/>
    <n v="-11"/>
    <n v="2.8828412840891559E-2"/>
    <n v="368"/>
  </r>
  <r>
    <x v="251"/>
    <d v="1905-07-11T00:00:00"/>
    <x v="0"/>
    <n v="259.27999899999998"/>
    <n v="269.75"/>
    <n v="256.57998700000002"/>
    <n v="267.66000400000001"/>
    <n v="267.66000400000001"/>
    <n v="8.3800050000000397"/>
    <n v="11679500"/>
    <n v="-0.118374558303886"/>
    <n v="-67"/>
    <n v="3.2320290929961165E-2"/>
    <n v="566"/>
  </r>
  <r>
    <x v="252"/>
    <d v="1905-07-11T00:00:00"/>
    <x v="0"/>
    <n v="270.20001200000002"/>
    <n v="275.790009"/>
    <n v="264.42999300000002"/>
    <n v="271.20001200000002"/>
    <n v="271.20001200000002"/>
    <n v="1"/>
    <n v="14969600"/>
    <n v="-0.12338858195211699"/>
    <n v="-67"/>
    <n v="3.7009620858195961E-3"/>
    <n v="543"/>
  </r>
  <r>
    <x v="253"/>
    <d v="1905-07-11T00:00:00"/>
    <x v="0"/>
    <n v="281.88000499999998"/>
    <n v="297.79998799999998"/>
    <n v="278.540009"/>
    <n v="297.57000699999998"/>
    <n v="297.57000699999998"/>
    <n v="15.690001999999993"/>
    <n v="19330100"/>
    <n v="1.53846153846153E-2"/>
    <n v="11"/>
    <n v="5.5661989930786304E-2"/>
    <n v="715"/>
  </r>
  <r>
    <x v="254"/>
    <d v="1905-07-11T00:00:00"/>
    <x v="0"/>
    <n v="302.10000600000001"/>
    <n v="316.79998799999998"/>
    <n v="301.64999399999999"/>
    <n v="315.33999599999999"/>
    <n v="315.33999599999999"/>
    <n v="13.239989999999977"/>
    <n v="18620100"/>
    <n v="-2.7820710973724801E-2"/>
    <n v="-18"/>
    <n v="4.3826513528768277E-2"/>
    <n v="647"/>
  </r>
  <r>
    <x v="255"/>
    <d v="1905-07-11T00:00:00"/>
    <x v="0"/>
    <n v="319.98001099999999"/>
    <n v="320.58999599999999"/>
    <n v="308.01001000000002"/>
    <n v="320.26998900000001"/>
    <n v="320.26998900000001"/>
    <n v="0.28997800000001916"/>
    <n v="15359200"/>
    <n v="-9.2476489028213094E-2"/>
    <n v="-59"/>
    <n v="9.0623785871430317E-4"/>
    <n v="638"/>
  </r>
  <r>
    <x v="256"/>
    <d v="1905-07-11T00:00:00"/>
    <x v="0"/>
    <n v="317.709991"/>
    <n v="323.35000600000001"/>
    <n v="313.5"/>
    <n v="319.959991"/>
    <n v="319.959991"/>
    <n v="2.25"/>
    <n v="13343200"/>
    <n v="-4.8997772828507702E-2"/>
    <n v="-22"/>
    <n v="7.0819302626211715E-3"/>
    <n v="449"/>
  </r>
  <r>
    <x v="257"/>
    <d v="1905-07-11T00:00:00"/>
    <x v="0"/>
    <n v="314.57000699999998"/>
    <n v="325.36999500000002"/>
    <n v="312.5"/>
    <n v="324.66000400000001"/>
    <n v="324.66000400000001"/>
    <n v="10.089997000000039"/>
    <n v="13472500"/>
    <n v="-4.9418604651162698E-2"/>
    <n v="-34"/>
    <n v="3.2075521427572209E-2"/>
    <n v="688"/>
  </r>
  <r>
    <x v="258"/>
    <d v="1905-07-11T00:00:00"/>
    <x v="0"/>
    <n v="330.959991"/>
    <n v="341.08999599999999"/>
    <n v="328.51998900000001"/>
    <n v="337.58999599999999"/>
    <n v="337.58999599999999"/>
    <n v="6.6300049999999828"/>
    <n v="19500400"/>
    <n v="-4.4172932330827003E-2"/>
    <n v="-47"/>
    <n v="2.0032647994603019E-2"/>
    <n v="1064"/>
  </r>
  <r>
    <x v="259"/>
    <d v="1905-07-11T00:00:00"/>
    <x v="0"/>
    <n v="334.23998999999998"/>
    <n v="335.48001099999999"/>
    <n v="329.13000499999998"/>
    <n v="332.94000199999999"/>
    <n v="332.94000199999999"/>
    <n v="-1.2999879999999848"/>
    <n v="10499600"/>
    <n v="-8.7939698492462304E-2"/>
    <n v="-35"/>
    <n v="-3.8893849895100369E-3"/>
    <n v="398"/>
  </r>
  <r>
    <x v="260"/>
    <d v="1905-07-11T00:00:00"/>
    <x v="0"/>
    <n v="349.60000600000001"/>
    <n v="357.22000100000002"/>
    <n v="347"/>
    <n v="354.64001500000001"/>
    <n v="354.64001500000001"/>
    <n v="5.0400089999999977"/>
    <n v="21181200"/>
    <n v="-7.8103207810320693E-2"/>
    <n v="-112"/>
    <n v="1.4416501468824339E-2"/>
    <n v="1434"/>
  </r>
  <r>
    <x v="261"/>
    <d v="1905-07-11T00:00:00"/>
    <x v="0"/>
    <n v="354"/>
    <n v="358.85000600000001"/>
    <n v="348.10998499999999"/>
    <n v="351.39001500000001"/>
    <n v="351.39001500000001"/>
    <n v="-2.6099849999999947"/>
    <n v="15385500"/>
    <n v="-0.115815691158156"/>
    <n v="-93"/>
    <n v="-7.3728389830508322E-3"/>
    <n v="803"/>
  </r>
  <r>
    <x v="262"/>
    <d v="1905-07-11T00:00:00"/>
    <x v="0"/>
    <n v="349.5"/>
    <n v="355.790009"/>
    <n v="346.41000400000001"/>
    <n v="353.19000199999999"/>
    <n v="353.19000199999999"/>
    <n v="3.6900019999999927"/>
    <n v="18871200"/>
    <n v="-0.11987522281639899"/>
    <n v="-269"/>
    <n v="1.0557945636623727E-2"/>
    <n v="2244"/>
  </r>
  <r>
    <x v="263"/>
    <d v="1905-07-11T00:00:00"/>
    <x v="0"/>
    <n v="351.97000100000002"/>
    <n v="353"/>
    <n v="336.73001099999999"/>
    <n v="339.10000600000001"/>
    <n v="339.10000600000001"/>
    <n v="-12.869995000000017"/>
    <n v="26621000"/>
    <n v="-8.9496581727781202E-2"/>
    <n v="-144"/>
    <n v="-3.6565602078115787E-2"/>
    <n v="1609"/>
  </r>
  <r>
    <x v="264"/>
    <d v="1905-07-11T00:00:00"/>
    <x v="0"/>
    <n v="334.89001500000001"/>
    <n v="336.88000499999998"/>
    <n v="321.02999899999998"/>
    <n v="325.16000400000001"/>
    <n v="325.16000400000001"/>
    <n v="-9.7300109999999904"/>
    <n v="17941400"/>
    <n v="-0.105263157894736"/>
    <n v="-84"/>
    <n v="-2.9054347887917741E-2"/>
    <n v="798"/>
  </r>
  <r>
    <x v="265"/>
    <d v="1905-07-11T00:00:00"/>
    <x v="0"/>
    <n v="328.25"/>
    <n v="331.75"/>
    <n v="318.60000600000001"/>
    <n v="321.98998999999998"/>
    <n v="321.98998999999998"/>
    <n v="-6.2600100000000225"/>
    <n v="13480100"/>
    <n v="-0.125"/>
    <n v="-71"/>
    <n v="-1.9070860624524059E-2"/>
    <n v="568"/>
  </r>
  <r>
    <x v="266"/>
    <d v="1905-07-11T00:00:00"/>
    <x v="0"/>
    <n v="320.60000600000001"/>
    <n v="331.79998799999998"/>
    <n v="319"/>
    <n v="326.67001299999998"/>
    <n v="326.67001299999998"/>
    <n v="6.0700069999999755"/>
    <n v="11131600"/>
    <n v="-6.9930069930069894E-2"/>
    <n v="-30"/>
    <n v="1.8933271635684173E-2"/>
    <n v="429"/>
  </r>
  <r>
    <x v="267"/>
    <d v="1905-07-11T00:00:00"/>
    <x v="0"/>
    <n v="328.72000100000002"/>
    <n v="340"/>
    <n v="328.51001000000002"/>
    <n v="338.04998799999998"/>
    <n v="338.04998799999998"/>
    <n v="9.3299869999999601"/>
    <n v="11152900"/>
    <n v="-6.1855670103092703E-2"/>
    <n v="-24"/>
    <n v="2.8382778570263997E-2"/>
    <n v="388"/>
  </r>
  <r>
    <x v="268"/>
    <d v="1905-07-11T00:00:00"/>
    <x v="0"/>
    <n v="334.70001200000002"/>
    <n v="336.29998799999998"/>
    <n v="328.88000499999998"/>
    <n v="335.66000400000001"/>
    <n v="335.66000400000001"/>
    <n v="0.95999199999999973"/>
    <n v="8652100"/>
    <n v="-6.7484662576687102E-2"/>
    <n v="-22"/>
    <n v="2.8682162102820589E-3"/>
    <n v="326"/>
  </r>
  <r>
    <x v="269"/>
    <d v="1905-07-11T00:00:00"/>
    <x v="0"/>
    <n v="335.86999500000002"/>
    <n v="338.22000100000002"/>
    <n v="328.14999399999999"/>
    <n v="328.89999399999999"/>
    <n v="328.89999399999999"/>
    <n v="-6.9700010000000248"/>
    <n v="7655200"/>
    <n v="-0.103641456582633"/>
    <n v="-37"/>
    <n v="-2.0752079982613584E-2"/>
    <n v="357"/>
  </r>
  <r>
    <x v="270"/>
    <d v="1905-07-11T00:00:00"/>
    <x v="0"/>
    <n v="332.75"/>
    <n v="341.77999899999998"/>
    <n v="330.79998799999998"/>
    <n v="340.66000400000001"/>
    <n v="340.66000400000001"/>
    <n v="7.9100040000000149"/>
    <n v="9234500"/>
    <n v="-8.3333333333333301E-2"/>
    <n v="-28"/>
    <n v="2.3771612321562781E-2"/>
    <n v="336"/>
  </r>
  <r>
    <x v="271"/>
    <d v="1905-07-11T00:00:00"/>
    <x v="0"/>
    <n v="339.67999300000002"/>
    <n v="345.98998999999998"/>
    <n v="338.08999599999999"/>
    <n v="339.5"/>
    <n v="339.5"/>
    <n v="-0.17999300000002449"/>
    <n v="8535500"/>
    <n v="-6.9306930693069299E-2"/>
    <n v="-28"/>
    <n v="-5.2988990729290462E-4"/>
    <n v="404"/>
  </r>
  <r>
    <x v="272"/>
    <d v="1905-07-11T00:00:00"/>
    <x v="1"/>
    <n v="337.17999300000002"/>
    <n v="346.83999599999999"/>
    <n v="336.5"/>
    <n v="339.85000600000001"/>
    <n v="339.85000600000001"/>
    <n v="2.6700129999999831"/>
    <n v="9827800"/>
    <n v="-8.6153846153846095E-2"/>
    <n v="-28"/>
    <n v="7.9186578546491127E-3"/>
    <n v="325"/>
  </r>
  <r>
    <x v="273"/>
    <d v="1905-07-11T00:00:00"/>
    <x v="1"/>
    <n v="342.60000600000001"/>
    <n v="352"/>
    <n v="341.29998799999998"/>
    <n v="351.33999599999999"/>
    <n v="351.33999599999999"/>
    <n v="8.7399899999999775"/>
    <n v="9051400"/>
    <n v="-6.88336520076481E-2"/>
    <n v="-36"/>
    <n v="2.5510770131159828E-2"/>
    <n v="523"/>
  </r>
  <r>
    <x v="274"/>
    <d v="1905-07-11T00:00:00"/>
    <x v="1"/>
    <n v="353.20001200000002"/>
    <n v="360"/>
    <n v="352.89999399999999"/>
    <n v="355.80999800000001"/>
    <n v="355.80999800000001"/>
    <n v="2.6099859999999921"/>
    <n v="9046600"/>
    <n v="-5.4968287526426997E-2"/>
    <n v="-26"/>
    <n v="7.3895410852930325E-3"/>
    <n v="473"/>
  </r>
  <r>
    <x v="275"/>
    <d v="1905-07-11T00:00:00"/>
    <x v="1"/>
    <n v="357"/>
    <n v="357.040009"/>
    <n v="347.19000199999999"/>
    <n v="352.19000199999999"/>
    <n v="352.19000199999999"/>
    <n v="-4.8099980000000073"/>
    <n v="6717700"/>
    <n v="-0.13888888888888801"/>
    <n v="-50"/>
    <n v="-1.3473383753501421E-2"/>
    <n v="360"/>
  </r>
  <r>
    <x v="276"/>
    <d v="1905-07-11T00:00:00"/>
    <x v="1"/>
    <n v="347.89999399999999"/>
    <n v="348.75"/>
    <n v="339.01998900000001"/>
    <n v="344.709991"/>
    <n v="344.709991"/>
    <n v="-3.1900029999999902"/>
    <n v="7864500"/>
    <n v="-0.11267605633802801"/>
    <n v="-32"/>
    <n v="-9.1693103047308187E-3"/>
    <n v="284"/>
  </r>
  <r>
    <x v="277"/>
    <d v="1905-07-11T00:00:00"/>
    <x v="1"/>
    <n v="338"/>
    <n v="348"/>
    <n v="338"/>
    <n v="347.57000699999998"/>
    <n v="347.57000699999998"/>
    <n v="9.5700069999999755"/>
    <n v="7561400"/>
    <n v="-0.101190476190476"/>
    <n v="-34"/>
    <n v="2.8313630177514721E-2"/>
    <n v="336"/>
  </r>
  <r>
    <x v="278"/>
    <d v="1905-07-11T00:00:00"/>
    <x v="1"/>
    <n v="350"/>
    <n v="352.86999500000002"/>
    <n v="344.80999800000001"/>
    <n v="345.73001099999999"/>
    <n v="345.73001099999999"/>
    <n v="-4.2699890000000096"/>
    <n v="5454900"/>
    <n v="-6.7460317460317401E-2"/>
    <n v="-17"/>
    <n v="-1.2199968571428599E-2"/>
    <n v="252"/>
  </r>
  <r>
    <x v="279"/>
    <d v="1905-07-11T00:00:00"/>
    <x v="1"/>
    <n v="348.08999599999999"/>
    <n v="360"/>
    <n v="346.51998900000001"/>
    <n v="359.97000100000002"/>
    <n v="359.97000100000002"/>
    <n v="11.88000500000004"/>
    <n v="10429400"/>
    <n v="-1.1406844106463801E-2"/>
    <n v="-6"/>
    <n v="3.4129119298217464E-2"/>
    <n v="526"/>
  </r>
  <r>
    <x v="280"/>
    <d v="1905-07-11T00:00:00"/>
    <x v="1"/>
    <n v="357.29998799999998"/>
    <n v="359.60000600000001"/>
    <n v="350.27999899999998"/>
    <n v="351.76998900000001"/>
    <n v="351.76998900000001"/>
    <n v="-5.5299989999999752"/>
    <n v="10559100"/>
    <n v="-5.6974459724950799E-2"/>
    <n v="-29"/>
    <n v="-1.5477187757420175E-2"/>
    <n v="509"/>
  </r>
  <r>
    <x v="281"/>
    <d v="1905-07-11T00:00:00"/>
    <x v="1"/>
    <n v="351.75"/>
    <n v="360.45001200000002"/>
    <n v="348.32998700000002"/>
    <n v="359.07000699999998"/>
    <n v="359.07000699999998"/>
    <n v="7.3200069999999755"/>
    <n v="9295300"/>
    <n v="-2.2675736961451001E-3"/>
    <n v="-1"/>
    <n v="2.0810254442075269E-2"/>
    <n v="441"/>
  </r>
  <r>
    <x v="282"/>
    <d v="1905-07-11T00:00:00"/>
    <x v="1"/>
    <n v="358.47000100000002"/>
    <n v="364.39999399999999"/>
    <n v="355.5"/>
    <n v="356.86999500000002"/>
    <n v="356.86999500000002"/>
    <n v="-1.6000060000000076"/>
    <n v="9230000"/>
    <n v="-9.375E-2"/>
    <n v="-39"/>
    <n v="-4.4634306790988839E-3"/>
    <n v="416"/>
  </r>
  <r>
    <x v="283"/>
    <d v="1905-07-11T00:00:00"/>
    <x v="1"/>
    <n v="355.79998799999998"/>
    <n v="365"/>
    <n v="355.32000699999998"/>
    <n v="361.92001299999998"/>
    <n v="361.92001299999998"/>
    <n v="6.1200249999999983"/>
    <n v="7396600"/>
    <n v="-5.1339285714285698E-2"/>
    <n v="-23"/>
    <n v="1.7200745380576008E-2"/>
    <n v="448"/>
  </r>
  <r>
    <x v="284"/>
    <d v="1905-07-11T00:00:00"/>
    <x v="1"/>
    <n v="364.85000600000001"/>
    <n v="366.709991"/>
    <n v="356.70001200000002"/>
    <n v="359.91000400000001"/>
    <n v="359.91000400000001"/>
    <n v="-4.9400019999999927"/>
    <n v="8110700"/>
    <n v="-9.6354166666666602E-2"/>
    <n v="-37"/>
    <n v="-1.3539816140225012E-2"/>
    <n v="384"/>
  </r>
  <r>
    <x v="285"/>
    <d v="1905-07-11T00:00:00"/>
    <x v="1"/>
    <n v="360.02999899999998"/>
    <n v="362.85000600000001"/>
    <n v="353.88000499999998"/>
    <n v="356.97000100000002"/>
    <n v="356.97000100000002"/>
    <n v="-3.0599979999999505"/>
    <n v="6227900"/>
    <n v="-0.11182108626197999"/>
    <n v="-35"/>
    <n v="-8.4992861942039186E-3"/>
    <n v="313"/>
  </r>
  <r>
    <x v="286"/>
    <d v="1905-07-11T00:00:00"/>
    <x v="1"/>
    <n v="360.33999599999999"/>
    <n v="366.13000499999998"/>
    <n v="360.04998799999998"/>
    <n v="363.01998900000001"/>
    <n v="363.01998900000001"/>
    <n v="2.6799930000000245"/>
    <n v="7088200"/>
    <n v="-8.2822085889570504E-2"/>
    <n v="-27"/>
    <n v="7.4374008707044125E-3"/>
    <n v="326"/>
  </r>
  <r>
    <x v="287"/>
    <d v="1905-07-11T00:00:00"/>
    <x v="1"/>
    <n v="367.01001000000002"/>
    <n v="371.48998999999998"/>
    <n v="363.790009"/>
    <n v="363.91000400000001"/>
    <n v="363.91000400000001"/>
    <n v="-3.1000060000000076"/>
    <n v="7569300"/>
    <n v="-2.3076923076922998E-2"/>
    <n v="-9"/>
    <n v="-8.4466524496157672E-3"/>
    <n v="390"/>
  </r>
  <r>
    <x v="288"/>
    <d v="1905-07-11T00:00:00"/>
    <x v="1"/>
    <n v="362.98001099999999"/>
    <n v="365.70001200000002"/>
    <n v="359.32998700000002"/>
    <n v="364.97000100000002"/>
    <n v="364.97000100000002"/>
    <n v="1.9899900000000343"/>
    <n v="4944600"/>
    <n v="-9.0909090909090898E-2"/>
    <n v="-28"/>
    <n v="5.4823680084136487E-3"/>
    <n v="308"/>
  </r>
  <r>
    <x v="289"/>
    <d v="1905-07-11T00:00:00"/>
    <x v="1"/>
    <n v="363.5"/>
    <n v="368.02999899999998"/>
    <n v="359.79998799999998"/>
    <n v="362.86999500000002"/>
    <n v="362.86999500000002"/>
    <n v="-0.63000499999998283"/>
    <n v="5629900"/>
    <n v="-0.10231023102310199"/>
    <n v="-31"/>
    <n v="-1.7331636863823462E-3"/>
    <n v="303"/>
  </r>
  <r>
    <x v="290"/>
    <d v="1905-07-11T00:00:00"/>
    <x v="1"/>
    <n v="362.47000100000002"/>
    <n v="366.39001500000001"/>
    <n v="357.709991"/>
    <n v="358.10000600000001"/>
    <n v="358.10000600000001"/>
    <n v="-4.3699950000000172"/>
    <n v="6186800"/>
    <n v="-0.17597765363128401"/>
    <n v="-63"/>
    <n v="-1.2056156338300716E-2"/>
    <n v="358"/>
  </r>
  <r>
    <x v="291"/>
    <d v="1905-07-11T00:00:00"/>
    <x v="2"/>
    <n v="362.26001000000002"/>
    <n v="362.86999500000002"/>
    <n v="354.69000199999999"/>
    <n v="357.32000699999998"/>
    <n v="357.32000699999998"/>
    <n v="-4.940003000000047"/>
    <n v="5526500"/>
    <n v="-0.16129032258064499"/>
    <n v="-50"/>
    <n v="-1.3636622491121906E-2"/>
    <n v="310"/>
  </r>
  <r>
    <x v="292"/>
    <d v="1905-07-11T00:00:00"/>
    <x v="2"/>
    <n v="359.72000100000002"/>
    <n v="362.25"/>
    <n v="348.040009"/>
    <n v="351.040009"/>
    <n v="351.040009"/>
    <n v="-8.679992000000027"/>
    <n v="7487000"/>
    <n v="-0.16088328075709701"/>
    <n v="-51"/>
    <n v="-2.4129856488018932E-2"/>
    <n v="317"/>
  </r>
  <r>
    <x v="293"/>
    <d v="1905-07-11T00:00:00"/>
    <x v="2"/>
    <n v="351.459991"/>
    <n v="356.17001299999998"/>
    <n v="348.25"/>
    <n v="354.29998799999998"/>
    <n v="354.29998799999998"/>
    <n v="2.8399969999999826"/>
    <n v="5937800"/>
    <n v="-6.1452513966480403E-2"/>
    <n v="-22"/>
    <n v="8.0805698307776456E-3"/>
    <n v="358"/>
  </r>
  <r>
    <x v="294"/>
    <d v="1905-07-11T00:00:00"/>
    <x v="2"/>
    <n v="353.60000600000001"/>
    <n v="359.88000499999998"/>
    <n v="351.70001200000002"/>
    <n v="359.60998499999999"/>
    <n v="359.60998499999999"/>
    <n v="6.0099789999999871"/>
    <n v="6211900"/>
    <n v="-2.8011204481792701E-2"/>
    <n v="-10"/>
    <n v="1.699654665729838E-2"/>
    <n v="357"/>
  </r>
  <r>
    <x v="295"/>
    <d v="1905-07-11T00:00:00"/>
    <x v="2"/>
    <n v="360.16000400000001"/>
    <n v="362.85998499999999"/>
    <n v="350.5"/>
    <n v="352.60000600000001"/>
    <n v="352.60000600000001"/>
    <n v="-7.5599980000000073"/>
    <n v="6151300"/>
    <n v="-0.104225352112676"/>
    <n v="-37"/>
    <n v="-2.0990665026758514E-2"/>
    <n v="355"/>
  </r>
  <r>
    <x v="296"/>
    <d v="1905-07-11T00:00:00"/>
    <x v="2"/>
    <n v="345.75"/>
    <n v="349.92001299999998"/>
    <n v="342.47000100000002"/>
    <n v="349.60000600000001"/>
    <n v="349.60000600000001"/>
    <n v="3.8500060000000076"/>
    <n v="6898800"/>
    <n v="-0.108333333333333"/>
    <n v="-39"/>
    <n v="1.11352306579899E-2"/>
    <n v="360"/>
  </r>
  <r>
    <x v="297"/>
    <d v="1905-07-11T00:00:00"/>
    <x v="2"/>
    <n v="352"/>
    <n v="358.98001099999999"/>
    <n v="350.02999899999998"/>
    <n v="358.85998499999999"/>
    <n v="358.85998499999999"/>
    <n v="6.8599849999999947"/>
    <n v="5387300"/>
    <n v="-0.11439114391143899"/>
    <n v="-31"/>
    <n v="1.9488593749999984E-2"/>
    <n v="271"/>
  </r>
  <r>
    <x v="298"/>
    <d v="1905-07-11T00:00:00"/>
    <x v="2"/>
    <n v="359.36999500000002"/>
    <n v="360.13000499999998"/>
    <n v="353.79998799999998"/>
    <n v="356.26998900000001"/>
    <n v="356.26998900000001"/>
    <n v="-3.1000060000000076"/>
    <n v="5164600"/>
    <n v="-7.9584775086505105E-2"/>
    <n v="-23"/>
    <n v="-8.6262237892175929E-3"/>
    <n v="289"/>
  </r>
  <r>
    <x v="299"/>
    <d v="1905-07-11T00:00:00"/>
    <x v="2"/>
    <n v="355.80999800000001"/>
    <n v="362.48001099999999"/>
    <n v="352.76998900000001"/>
    <n v="361.209991"/>
    <n v="361.209991"/>
    <n v="5.3999929999999949"/>
    <n v="6444100"/>
    <n v="-0.104615384615384"/>
    <n v="-34"/>
    <n v="1.5176619629446149E-2"/>
    <n v="325"/>
  </r>
  <r>
    <x v="300"/>
    <d v="1905-07-11T00:00:00"/>
    <x v="2"/>
    <n v="360.5"/>
    <n v="363.83999599999999"/>
    <n v="358.10000600000001"/>
    <n v="358.82000699999998"/>
    <n v="358.82000699999998"/>
    <n v="-1.6799930000000245"/>
    <n v="5271400"/>
    <n v="-8.5365853658536495E-2"/>
    <n v="-28"/>
    <n v="-4.6601747572816215E-3"/>
    <n v="328"/>
  </r>
  <r>
    <x v="301"/>
    <d v="1905-07-11T00:00:00"/>
    <x v="2"/>
    <n v="361.01998900000001"/>
    <n v="364"/>
    <n v="358.89001500000001"/>
    <n v="361.459991"/>
    <n v="361.459991"/>
    <n v="0.44000199999999268"/>
    <n v="8444500"/>
    <n v="-1.4662756598240401E-2"/>
    <n v="-5"/>
    <n v="1.2187746202606878E-3"/>
    <n v="341"/>
  </r>
  <r>
    <x v="302"/>
    <d v="1905-07-11T00:00:00"/>
    <x v="2"/>
    <n v="362.47000100000002"/>
    <n v="370.97000100000002"/>
    <n v="361.85998499999999"/>
    <n v="363.44000199999999"/>
    <n v="363.44000199999999"/>
    <n v="0.97000099999996792"/>
    <n v="7194700"/>
    <n v="-2.9850746268656001E-3"/>
    <n v="-1"/>
    <n v="2.6760862894139696E-3"/>
    <n v="335"/>
  </r>
  <r>
    <x v="303"/>
    <d v="1905-07-11T00:00:00"/>
    <x v="2"/>
    <n v="366.39999399999999"/>
    <n v="366.959991"/>
    <n v="356.79998799999998"/>
    <n v="358.77999899999998"/>
    <n v="358.77999899999998"/>
    <n v="-7.6199950000000172"/>
    <n v="7541400"/>
    <n v="-0.13178294573643401"/>
    <n v="-51"/>
    <n v="-2.0796929925713966E-2"/>
    <n v="387"/>
  </r>
  <r>
    <x v="304"/>
    <d v="1905-07-11T00:00:00"/>
    <x v="2"/>
    <n v="358.91000400000001"/>
    <n v="375.89999399999999"/>
    <n v="357.01001000000002"/>
    <n v="375.22000100000002"/>
    <n v="375.22000100000002"/>
    <n v="16.30999700000001"/>
    <n v="10917200"/>
    <n v="8.6805555555555004E-3"/>
    <n v="5"/>
    <n v="4.5443138442025729E-2"/>
    <n v="576"/>
  </r>
  <r>
    <x v="305"/>
    <d v="1905-07-11T00:00:00"/>
    <x v="2"/>
    <n v="374"/>
    <n v="379"/>
    <n v="370.60998499999999"/>
    <n v="377.86999500000002"/>
    <n v="377.86999500000002"/>
    <n v="3.8699950000000172"/>
    <n v="8544000"/>
    <n v="-4.4392523364485903E-2"/>
    <n v="-19"/>
    <n v="1.0347580213903789E-2"/>
    <n v="428"/>
  </r>
  <r>
    <x v="306"/>
    <d v="1905-07-11T00:00:00"/>
    <x v="2"/>
    <n v="375.95001200000002"/>
    <n v="376.42999300000002"/>
    <n v="360.040009"/>
    <n v="361.01001000000002"/>
    <n v="361.01001000000002"/>
    <n v="-14.940001999999993"/>
    <n v="8661300"/>
    <n v="-4.4619422572178401E-2"/>
    <n v="-17"/>
    <n v="-3.9739331089581109E-2"/>
    <n v="381"/>
  </r>
  <r>
    <x v="307"/>
    <d v="1905-07-11T00:00:00"/>
    <x v="2"/>
    <n v="359"/>
    <n v="367.040009"/>
    <n v="357.44000199999999"/>
    <n v="366.23001099999999"/>
    <n v="366.23001099999999"/>
    <n v="7.2300109999999904"/>
    <n v="8473800"/>
    <n v="-0.107981220657277"/>
    <n v="-46"/>
    <n v="2.0139306406685209E-2"/>
    <n v="426"/>
  </r>
  <r>
    <x v="308"/>
    <d v="1905-07-11T00:00:00"/>
    <x v="2"/>
    <n v="367.86999500000002"/>
    <n v="368.38000499999998"/>
    <n v="358.01998900000001"/>
    <n v="359.97000100000002"/>
    <n v="359.97000100000002"/>
    <n v="-7.8999939999999924"/>
    <n v="7666500"/>
    <n v="-9.0909090909090898E-2"/>
    <n v="-30"/>
    <n v="-2.1474961555372277E-2"/>
    <n v="330"/>
  </r>
  <r>
    <x v="309"/>
    <d v="1905-07-11T00:00:00"/>
    <x v="2"/>
    <n v="361"/>
    <n v="362.47000100000002"/>
    <n v="350.36999500000002"/>
    <n v="353.36999500000002"/>
    <n v="353.36999500000002"/>
    <n v="-7.6300049999999828"/>
    <n v="7852400"/>
    <n v="-0.11721611721611699"/>
    <n v="-32"/>
    <n v="-2.1135747922437626E-2"/>
    <n v="273"/>
  </r>
  <r>
    <x v="310"/>
    <d v="1905-07-11T00:00:00"/>
    <x v="2"/>
    <n v="354.48998999999998"/>
    <n v="355.94000199999999"/>
    <n v="349.20001200000002"/>
    <n v="354.60998499999999"/>
    <n v="354.60998499999999"/>
    <n v="0.11999500000001717"/>
    <n v="4361000"/>
    <n v="-8.0586080586080494E-2"/>
    <n v="-22"/>
    <n v="3.3850039037778521E-4"/>
    <n v="273"/>
  </r>
  <r>
    <x v="311"/>
    <d v="1905-07-11T00:00:00"/>
    <x v="2"/>
    <n v="357.16000400000001"/>
    <n v="358.25"/>
    <n v="353.709991"/>
    <n v="356.55999800000001"/>
    <n v="356.55999800000001"/>
    <n v="-0.60000600000000759"/>
    <n v="4705600"/>
    <n v="-9.2165898617511496E-2"/>
    <n v="-20"/>
    <n v="-1.6799361442498123E-3"/>
    <n v="217"/>
  </r>
  <r>
    <x v="312"/>
    <d v="1905-07-11T00:00:00"/>
    <x v="3"/>
    <n v="359"/>
    <n v="368.32998700000002"/>
    <n v="358.51001000000002"/>
    <n v="366.959991"/>
    <n v="366.959991"/>
    <n v="7.9599910000000023"/>
    <n v="7036100"/>
    <n v="-7.1684587813620002E-3"/>
    <n v="-2"/>
    <n v="2.2172676880222848E-2"/>
    <n v="279"/>
  </r>
  <r>
    <x v="313"/>
    <d v="1905-07-11T00:00:00"/>
    <x v="3"/>
    <n v="366.25"/>
    <n v="368.42001299999998"/>
    <n v="362.22000100000002"/>
    <n v="367.72000100000002"/>
    <n v="367.72000100000002"/>
    <n v="1.4700010000000248"/>
    <n v="5158700"/>
    <n v="-3.3742331288343502E-2"/>
    <n v="-11"/>
    <n v="4.0136546075086E-3"/>
    <n v="326"/>
  </r>
  <r>
    <x v="314"/>
    <d v="1905-07-11T00:00:00"/>
    <x v="3"/>
    <n v="369.26001000000002"/>
    <n v="373.41000400000001"/>
    <n v="366.19000199999999"/>
    <n v="369.75"/>
    <n v="369.75"/>
    <n v="0.4899899999999775"/>
    <n v="5368900"/>
    <n v="-3.8575667655786301E-2"/>
    <n v="-13"/>
    <n v="1.3269511637612138E-3"/>
    <n v="337"/>
  </r>
  <r>
    <x v="315"/>
    <d v="1905-07-11T00:00:00"/>
    <x v="3"/>
    <n v="370.07000699999998"/>
    <n v="372.04998799999998"/>
    <n v="362.39999399999999"/>
    <n v="367.88000499999998"/>
    <n v="367.88000499999998"/>
    <n v="-2.1900019999999927"/>
    <n v="4627300"/>
    <n v="-4.8780487804878002E-2"/>
    <n v="-14"/>
    <n v="-5.9178046277065435E-3"/>
    <n v="287"/>
  </r>
  <r>
    <x v="316"/>
    <d v="1905-07-11T00:00:00"/>
    <x v="3"/>
    <n v="369"/>
    <n v="369.79998799999998"/>
    <n v="364.66000400000001"/>
    <n v="365.48998999999998"/>
    <n v="365.48998999999998"/>
    <n v="-3.5100100000000225"/>
    <n v="3905500"/>
    <n v="-0.10629921259842499"/>
    <n v="-27"/>
    <n v="-9.512222222222283E-3"/>
    <n v="254"/>
  </r>
  <r>
    <x v="317"/>
    <d v="1905-07-11T00:00:00"/>
    <x v="3"/>
    <n v="365.10998499999999"/>
    <n v="365.94000199999999"/>
    <n v="359.92999300000002"/>
    <n v="361.41000400000001"/>
    <n v="361.41000400000001"/>
    <n v="-3.6999809999999798"/>
    <n v="4653800"/>
    <n v="-0.112211221122112"/>
    <n v="-34"/>
    <n v="-1.0133880616822846E-2"/>
    <n v="303"/>
  </r>
  <r>
    <x v="318"/>
    <d v="1905-07-11T00:00:00"/>
    <x v="3"/>
    <n v="360.540009"/>
    <n v="366.73998999999998"/>
    <n v="359"/>
    <n v="364.709991"/>
    <n v="364.709991"/>
    <n v="4.1699820000000045"/>
    <n v="5439200"/>
    <n v="-2.9569892473118201E-2"/>
    <n v="-11"/>
    <n v="1.1565934142970536E-2"/>
    <n v="372"/>
  </r>
  <r>
    <x v="319"/>
    <d v="1905-07-11T00:00:00"/>
    <x v="3"/>
    <n v="365.790009"/>
    <n v="368.85000600000001"/>
    <n v="362.25"/>
    <n v="363.92001299999998"/>
    <n v="363.92001299999998"/>
    <n v="-1.8699960000000146"/>
    <n v="4545600"/>
    <n v="-6.8877551020408101E-2"/>
    <n v="-27"/>
    <n v="-5.1122117990926716E-3"/>
    <n v="392"/>
  </r>
  <r>
    <x v="320"/>
    <d v="1905-07-11T00:00:00"/>
    <x v="3"/>
    <n v="365"/>
    <n v="370.11999500000002"/>
    <n v="360.80999800000001"/>
    <n v="367.64999399999999"/>
    <n v="367.64999399999999"/>
    <n v="2.6499939999999924"/>
    <n v="6526900"/>
    <n v="-6.1176470588235297E-2"/>
    <n v="-26"/>
    <n v="7.260257534246555E-3"/>
    <n v="425"/>
  </r>
  <r>
    <x v="321"/>
    <d v="1905-07-11T00:00:00"/>
    <x v="3"/>
    <n v="360.69000199999999"/>
    <n v="361.75"/>
    <n v="349.35998499999999"/>
    <n v="351.14001500000001"/>
    <n v="351.14001500000001"/>
    <n v="-9.5499869999999873"/>
    <n v="15646200"/>
    <n v="-0.15370370370370301"/>
    <n v="-166"/>
    <n v="-2.6476993947838864E-2"/>
    <n v="1080"/>
  </r>
  <r>
    <x v="322"/>
    <d v="1905-07-11T00:00:00"/>
    <x v="3"/>
    <n v="350.709991"/>
    <n v="352.209991"/>
    <n v="342.26998900000001"/>
    <n v="348.86999500000002"/>
    <n v="348.86999500000002"/>
    <n v="-1.8399959999999851"/>
    <n v="8842300"/>
    <n v="-0.12181818181818101"/>
    <n v="-67"/>
    <n v="-5.2464886864314773E-3"/>
    <n v="550"/>
  </r>
  <r>
    <x v="323"/>
    <d v="1905-07-11T00:00:00"/>
    <x v="3"/>
    <n v="355"/>
    <n v="364.48001099999999"/>
    <n v="352.72000100000002"/>
    <n v="359.459991"/>
    <n v="359.459991"/>
    <n v="4.4599910000000023"/>
    <n v="18740200"/>
    <n v="-7.7460687245195101E-2"/>
    <n v="-133"/>
    <n v="1.2563354929577471E-2"/>
    <n v="1717"/>
  </r>
  <r>
    <x v="324"/>
    <d v="1905-07-11T00:00:00"/>
    <x v="3"/>
    <n v="365.04998799999998"/>
    <n v="368.76001000000002"/>
    <n v="350.60000600000001"/>
    <n v="354.73998999999998"/>
    <n v="354.73998999999998"/>
    <n v="-10.309998000000007"/>
    <n v="18054100"/>
    <n v="-8.2629107981220598E-2"/>
    <n v="-88"/>
    <n v="-2.8242701928263062E-2"/>
    <n v="1065"/>
  </r>
  <r>
    <x v="325"/>
    <d v="1905-07-11T00:00:00"/>
    <x v="3"/>
    <n v="355"/>
    <n v="360.41000400000001"/>
    <n v="351.64001500000001"/>
    <n v="360.35000600000001"/>
    <n v="360.35000600000001"/>
    <n v="5.3500060000000076"/>
    <n v="8353200"/>
    <n v="-4.4444444444444398E-2"/>
    <n v="-20"/>
    <n v="1.507043943661974E-2"/>
    <n v="450"/>
  </r>
  <r>
    <x v="326"/>
    <d v="1905-07-11T00:00:00"/>
    <x v="3"/>
    <n v="359.70001200000002"/>
    <n v="377.69000199999999"/>
    <n v="359"/>
    <n v="377.33999599999999"/>
    <n v="377.33999599999999"/>
    <n v="17.63998399999997"/>
    <n v="11980500"/>
    <n v="-1.7211703958691E-3"/>
    <n v="-1"/>
    <n v="4.9040821271921359E-2"/>
    <n v="581"/>
  </r>
  <r>
    <x v="327"/>
    <d v="1905-07-11T00:00:00"/>
    <x v="3"/>
    <n v="375.45001200000002"/>
    <n v="384.79998799999998"/>
    <n v="374.709991"/>
    <n v="381.89001500000001"/>
    <n v="381.89001500000001"/>
    <n v="6.4400029999999902"/>
    <n v="10089800"/>
    <n v="-4.1431261770244802E-2"/>
    <n v="-22"/>
    <n v="1.7152757475474498E-2"/>
    <n v="531"/>
  </r>
  <r>
    <x v="328"/>
    <d v="1905-07-11T00:00:00"/>
    <x v="3"/>
    <n v="381.07000699999998"/>
    <n v="381.89999399999999"/>
    <n v="373.26998900000001"/>
    <n v="374.23001099999999"/>
    <n v="374.23001099999999"/>
    <n v="-6.8399959999999851"/>
    <n v="6541900"/>
    <n v="-9.75056689342403E-2"/>
    <n v="-43"/>
    <n v="-1.7949447278331684E-2"/>
    <n v="441"/>
  </r>
  <r>
    <x v="329"/>
    <d v="1905-07-11T00:00:00"/>
    <x v="3"/>
    <n v="374.48998999999998"/>
    <n v="374.76001000000002"/>
    <n v="365.70001200000002"/>
    <n v="368.32998700000002"/>
    <n v="368.32998700000002"/>
    <n v="-6.1600029999999606"/>
    <n v="6255500"/>
    <n v="-0.117816091954022"/>
    <n v="-41"/>
    <n v="-1.6449045807606127E-2"/>
    <n v="348"/>
  </r>
  <r>
    <x v="330"/>
    <d v="1905-07-11T00:00:00"/>
    <x v="3"/>
    <n v="368.35000600000001"/>
    <n v="375.14001500000001"/>
    <n v="366.23998999999998"/>
    <n v="374.85000600000001"/>
    <n v="374.85000600000001"/>
    <n v="6.5"/>
    <n v="5621900"/>
    <n v="-6.3291139240506306E-2"/>
    <n v="-20"/>
    <n v="1.7646260062773013E-2"/>
    <n v="316"/>
  </r>
  <r>
    <x v="331"/>
    <d v="1905-07-11T00:00:00"/>
    <x v="3"/>
    <n v="373.67999300000002"/>
    <n v="374.57998700000002"/>
    <n v="369.11999500000002"/>
    <n v="371.82998700000002"/>
    <n v="371.82998700000002"/>
    <n v="-1.8500060000000076"/>
    <n v="3821700"/>
    <n v="-7.5098814229248995E-2"/>
    <n v="-19"/>
    <n v="-4.9507761578233798E-3"/>
    <n v="253"/>
  </r>
  <r>
    <x v="332"/>
    <d v="1905-07-11T00:00:00"/>
    <x v="3"/>
    <n v="369.55999800000001"/>
    <n v="374.5"/>
    <n v="368.35000600000001"/>
    <n v="370.540009"/>
    <n v="370.540009"/>
    <n v="0.98001099999999042"/>
    <n v="3870100"/>
    <n v="-2.9801324503311199E-2"/>
    <n v="-9"/>
    <n v="2.651831922566442E-3"/>
    <n v="302"/>
  </r>
  <r>
    <x v="333"/>
    <d v="1905-07-11T00:00:00"/>
    <x v="4"/>
    <n v="374"/>
    <n v="385.98998999999998"/>
    <n v="373.17001299999998"/>
    <n v="378.80999800000001"/>
    <n v="378.80999800000001"/>
    <n v="4.8099980000000073"/>
    <n v="9257300"/>
    <n v="0"/>
    <n v="0"/>
    <n v="1.2860957219251356E-2"/>
    <n v="442"/>
  </r>
  <r>
    <x v="334"/>
    <d v="1905-07-11T00:00:00"/>
    <x v="4"/>
    <n v="378"/>
    <n v="383.5"/>
    <n v="374.51001000000002"/>
    <n v="379.05999800000001"/>
    <n v="379.05999800000001"/>
    <n v="1.0599980000000073"/>
    <n v="5398200"/>
    <n v="-5.95238095238095E-2"/>
    <n v="-25"/>
    <n v="2.8042275132275328E-3"/>
    <n v="420"/>
  </r>
  <r>
    <x v="335"/>
    <d v="1905-07-11T00:00:00"/>
    <x v="4"/>
    <n v="381.52999899999998"/>
    <n v="385.02999899999998"/>
    <n v="378.26998900000001"/>
    <n v="385.02999899999998"/>
    <n v="385.02999899999998"/>
    <n v="3.5"/>
    <n v="5130300"/>
    <n v="-7.39856801909307E-2"/>
    <n v="-31"/>
    <n v="9.1735905673828808E-3"/>
    <n v="419"/>
  </r>
  <r>
    <x v="336"/>
    <d v="1905-07-11T00:00:00"/>
    <x v="4"/>
    <n v="377.69000199999999"/>
    <n v="381.35000600000001"/>
    <n v="376"/>
    <n v="378.67001299999998"/>
    <n v="378.67001299999998"/>
    <n v="0.98001099999999042"/>
    <n v="5793100"/>
    <n v="-8.1159420289854997E-2"/>
    <n v="-28"/>
    <n v="2.5947496486814349E-3"/>
    <n v="345"/>
  </r>
  <r>
    <x v="337"/>
    <d v="1905-07-11T00:00:00"/>
    <x v="4"/>
    <n v="377"/>
    <n v="379.91000400000001"/>
    <n v="365.80999800000001"/>
    <n v="370.459991"/>
    <n v="370.459991"/>
    <n v="-6.5400089999999977"/>
    <n v="6974900"/>
    <n v="-7.6470588235294096E-2"/>
    <n v="-26"/>
    <n v="-1.7347503978779835E-2"/>
    <n v="340"/>
  </r>
  <r>
    <x v="338"/>
    <d v="1905-07-11T00:00:00"/>
    <x v="4"/>
    <n v="367.92001299999998"/>
    <n v="369"/>
    <n v="361.35998499999999"/>
    <n v="364.36999500000002"/>
    <n v="364.36999500000002"/>
    <n v="-3.5500179999999659"/>
    <n v="6572000"/>
    <n v="-0.12219451371571"/>
    <n v="-49"/>
    <n v="-9.648885286378717E-3"/>
    <n v="401"/>
  </r>
  <r>
    <x v="339"/>
    <d v="1905-07-11T00:00:00"/>
    <x v="4"/>
    <n v="360.89999399999999"/>
    <n v="364.20001200000002"/>
    <n v="352.75"/>
    <n v="362.75"/>
    <n v="362.75"/>
    <n v="1.8500060000000076"/>
    <n v="5882600"/>
    <n v="-0.10370370370370301"/>
    <n v="-42"/>
    <n v="5.1260904149530344E-3"/>
    <n v="405"/>
  </r>
  <r>
    <x v="340"/>
    <d v="1905-07-11T00:00:00"/>
    <x v="4"/>
    <n v="361.61999500000002"/>
    <n v="365.26001000000002"/>
    <n v="353.05999800000001"/>
    <n v="361.040009"/>
    <n v="361.040009"/>
    <n v="-0.57998600000001943"/>
    <n v="5657100"/>
    <n v="-0.11764705882352899"/>
    <n v="-36"/>
    <n v="-1.6038548974594709E-3"/>
    <n v="306"/>
  </r>
  <r>
    <x v="341"/>
    <d v="1905-07-11T00:00:00"/>
    <x v="4"/>
    <n v="352.290009"/>
    <n v="354.26001000000002"/>
    <n v="343.10000600000001"/>
    <n v="345.26001000000002"/>
    <n v="345.26001000000002"/>
    <n v="-7.0299989999999752"/>
    <n v="8026700"/>
    <n v="-0.100817438692098"/>
    <n v="-37"/>
    <n v="-1.9955147237797413E-2"/>
    <n v="367"/>
  </r>
  <r>
    <x v="342"/>
    <d v="1905-07-11T00:00:00"/>
    <x v="4"/>
    <n v="348.709991"/>
    <n v="349.95001200000002"/>
    <n v="342.5"/>
    <n v="345.60998499999999"/>
    <n v="345.60998499999999"/>
    <n v="-3.1000060000000076"/>
    <n v="5353000"/>
    <n v="-0.109181141439205"/>
    <n v="-44"/>
    <n v="-8.8899259556919543E-3"/>
    <n v="403"/>
  </r>
  <r>
    <x v="343"/>
    <d v="1905-07-11T00:00:00"/>
    <x v="4"/>
    <n v="343.33999599999999"/>
    <n v="356.5"/>
    <n v="341.39001500000001"/>
    <n v="354.98998999999998"/>
    <n v="354.98998999999998"/>
    <n v="11.649993999999992"/>
    <n v="6340100"/>
    <n v="-4.7393364928909901E-2"/>
    <n v="-20"/>
    <n v="3.3931362893124727E-2"/>
    <n v="422"/>
  </r>
  <r>
    <x v="344"/>
    <d v="1905-07-11T00:00:00"/>
    <x v="4"/>
    <n v="356.36999500000002"/>
    <n v="364"/>
    <n v="353.94000199999999"/>
    <n v="359.30999800000001"/>
    <n v="359.30999800000001"/>
    <n v="2.9400029999999902"/>
    <n v="6441500"/>
    <n v="-2.5575447570332401E-2"/>
    <n v="-10"/>
    <n v="8.2498612151676518E-3"/>
    <n v="391"/>
  </r>
  <r>
    <x v="345"/>
    <d v="1905-07-11T00:00:00"/>
    <x v="4"/>
    <n v="356.39001500000001"/>
    <n v="359.61999500000002"/>
    <n v="353.790009"/>
    <n v="354.45001200000002"/>
    <n v="354.45001200000002"/>
    <n v="-1.9400029999999902"/>
    <n v="4725400"/>
    <n v="-6.5281899109792194E-2"/>
    <n v="-22"/>
    <n v="-5.4434830336085316E-3"/>
    <n v="337"/>
  </r>
  <r>
    <x v="346"/>
    <d v="1905-07-11T00:00:00"/>
    <x v="4"/>
    <n v="351.23001099999999"/>
    <n v="352.42001299999998"/>
    <n v="345.39999399999999"/>
    <n v="348.10998499999999"/>
    <n v="348.10998499999999"/>
    <n v="-3.1200259999999957"/>
    <n v="4621500"/>
    <n v="-4.9645390070921898E-2"/>
    <n v="-14"/>
    <n v="-8.8831418224110583E-3"/>
    <n v="282"/>
  </r>
  <r>
    <x v="347"/>
    <d v="1905-07-11T00:00:00"/>
    <x v="4"/>
    <n v="350.95001200000002"/>
    <n v="356.42999300000002"/>
    <n v="349.92999300000002"/>
    <n v="354.26998900000001"/>
    <n v="354.26998900000001"/>
    <n v="3.3199769999999944"/>
    <n v="4026400"/>
    <n v="-6.9518716577540093E-2"/>
    <n v="-26"/>
    <n v="9.4599711824486111E-3"/>
    <n v="374"/>
  </r>
  <r>
    <x v="348"/>
    <d v="1905-07-11T00:00:00"/>
    <x v="4"/>
    <n v="358.01001000000002"/>
    <n v="370.459991"/>
    <n v="357.29998799999998"/>
    <n v="359.73001099999999"/>
    <n v="359.73001099999999"/>
    <n v="1.7200009999999679"/>
    <n v="6229400"/>
    <n v="-7.2599531615925E-2"/>
    <n v="-31"/>
    <n v="4.8043377334616088E-3"/>
    <n v="427"/>
  </r>
  <r>
    <x v="349"/>
    <d v="1905-07-11T00:00:00"/>
    <x v="4"/>
    <n v="355.5"/>
    <n v="357.42001299999998"/>
    <n v="347.70001200000002"/>
    <n v="352.209991"/>
    <n v="352.209991"/>
    <n v="-3.2900089999999977"/>
    <n v="5630400"/>
    <n v="-9.6774193548387094E-2"/>
    <n v="-33"/>
    <n v="-9.2545963431786161E-3"/>
    <n v="341"/>
  </r>
  <r>
    <x v="350"/>
    <d v="1905-07-11T00:00:00"/>
    <x v="4"/>
    <n v="355.41000400000001"/>
    <n v="359.44000199999999"/>
    <n v="353.790009"/>
    <n v="354.39001500000001"/>
    <n v="354.39001500000001"/>
    <n v="-1.0199890000000096"/>
    <n v="3831000"/>
    <n v="-6.25E-2"/>
    <n v="-17"/>
    <n v="-2.8698938930261783E-3"/>
    <n v="272"/>
  </r>
  <r>
    <x v="351"/>
    <d v="1905-07-11T00:00:00"/>
    <x v="4"/>
    <n v="354.39001500000001"/>
    <n v="361.20001200000002"/>
    <n v="353.64999399999999"/>
    <n v="355.05999800000001"/>
    <n v="355.05999800000001"/>
    <n v="0.66998300000000199"/>
    <n v="4717100"/>
    <n v="-0.100877192982456"/>
    <n v="-23"/>
    <n v="1.8905244833153721E-3"/>
    <n v="228"/>
  </r>
  <r>
    <x v="352"/>
    <d v="1905-07-11T00:00:00"/>
    <x v="4"/>
    <n v="353.60000600000001"/>
    <n v="353.85000600000001"/>
    <n v="345.89999399999999"/>
    <n v="349.19000199999999"/>
    <n v="349.19000199999999"/>
    <n v="-4.4100040000000149"/>
    <n v="5658900"/>
    <n v="-8.3333333333333301E-2"/>
    <n v="-24"/>
    <n v="-1.2471730557606423E-2"/>
    <n v="288"/>
  </r>
  <r>
    <x v="353"/>
    <d v="1905-07-11T00:00:00"/>
    <x v="4"/>
    <n v="350.54998799999998"/>
    <n v="354.209991"/>
    <n v="348.29998799999998"/>
    <n v="351.85000600000001"/>
    <n v="351.85000600000001"/>
    <n v="1.3000180000000228"/>
    <n v="4008000"/>
    <n v="-7.0484581497797294E-2"/>
    <n v="-16"/>
    <n v="3.708509612044325E-3"/>
    <n v="227"/>
  </r>
  <r>
    <x v="354"/>
    <d v="1905-07-11T00:00:00"/>
    <x v="4"/>
    <n v="347.22000100000002"/>
    <n v="349.33999599999999"/>
    <n v="342.92001299999998"/>
    <n v="343.27999899999998"/>
    <n v="343.27999899999998"/>
    <n v="-3.9400020000000495"/>
    <n v="5023400"/>
    <n v="-9.1254752851711002E-2"/>
    <n v="-24"/>
    <n v="-1.1347278349901419E-2"/>
    <n v="263"/>
  </r>
  <r>
    <x v="355"/>
    <d v="1905-07-11T00:00:00"/>
    <x v="5"/>
    <n v="343.55999800000001"/>
    <n v="347.66000400000001"/>
    <n v="332.64999399999999"/>
    <n v="336.63000499999998"/>
    <n v="336.63000499999998"/>
    <n v="-6.9299930000000245"/>
    <n v="7849600"/>
    <n v="-0.129251700680272"/>
    <n v="-38"/>
    <n v="-2.0171128886780423E-2"/>
    <n v="294"/>
  </r>
  <r>
    <x v="356"/>
    <d v="1905-07-11T00:00:00"/>
    <x v="5"/>
    <n v="345"/>
    <n v="353.60998499999999"/>
    <n v="343.25"/>
    <n v="353.39999399999999"/>
    <n v="353.39999399999999"/>
    <n v="8.3999939999999924"/>
    <n v="7891600"/>
    <n v="-4.01002506265664E-2"/>
    <n v="-16"/>
    <n v="2.4347808695652152E-2"/>
    <n v="399"/>
  </r>
  <r>
    <x v="357"/>
    <d v="1905-07-11T00:00:00"/>
    <x v="5"/>
    <n v="354.38000499999998"/>
    <n v="357.88000499999998"/>
    <n v="348.709991"/>
    <n v="355.73001099999999"/>
    <n v="355.73001099999999"/>
    <n v="1.3500060000000076"/>
    <n v="5020100"/>
    <n v="-7.1216617210682495E-2"/>
    <n v="-24"/>
    <n v="3.8094869376166063E-3"/>
    <n v="337"/>
  </r>
  <r>
    <x v="358"/>
    <d v="1905-07-11T00:00:00"/>
    <x v="5"/>
    <n v="354.83999599999999"/>
    <n v="358.209991"/>
    <n v="352.08999599999999"/>
    <n v="357.13000499999998"/>
    <n v="357.13000499999998"/>
    <n v="2.2900089999999977"/>
    <n v="3710000"/>
    <n v="-8.4942084942084897E-2"/>
    <n v="-22"/>
    <n v="6.4536383322470721E-3"/>
    <n v="259"/>
  </r>
  <r>
    <x v="359"/>
    <d v="1905-07-11T00:00:00"/>
    <x v="5"/>
    <n v="357.39001500000001"/>
    <n v="365.14999399999999"/>
    <n v="355.69000199999999"/>
    <n v="360.86999500000002"/>
    <n v="360.86999500000002"/>
    <n v="3.4799800000000118"/>
    <n v="4777300"/>
    <n v="-2.6515151515151499E-2"/>
    <n v="-7"/>
    <n v="9.7372054448695549E-3"/>
    <n v="264"/>
  </r>
  <r>
    <x v="360"/>
    <d v="1905-07-11T00:00:00"/>
    <x v="5"/>
    <n v="363.64999399999999"/>
    <n v="367.10000600000001"/>
    <n v="349.290009"/>
    <n v="352.01001000000002"/>
    <n v="352.01001000000002"/>
    <n v="-11.63998399999997"/>
    <n v="7810300"/>
    <n v="-0.11267605633802801"/>
    <n v="-40"/>
    <n v="-3.2008756199786902E-2"/>
    <n v="355"/>
  </r>
  <r>
    <x v="361"/>
    <d v="1905-07-11T00:00:00"/>
    <x v="5"/>
    <n v="355"/>
    <n v="357.57998700000002"/>
    <n v="348.5"/>
    <n v="351.26998900000001"/>
    <n v="351.26998900000001"/>
    <n v="-3.7300109999999904"/>
    <n v="5396700"/>
    <n v="-4.7619047619047603E-2"/>
    <n v="-15"/>
    <n v="-1.0507073239436593E-2"/>
    <n v="315"/>
  </r>
  <r>
    <x v="362"/>
    <d v="1905-07-11T00:00:00"/>
    <x v="5"/>
    <n v="351.82000699999998"/>
    <n v="353.60998499999999"/>
    <n v="343.23001099999999"/>
    <n v="345.55999800000001"/>
    <n v="345.55999800000001"/>
    <n v="-6.2600089999999682"/>
    <n v="4584700"/>
    <n v="-9.0301003344481601E-2"/>
    <n v="-27"/>
    <n v="-1.7793214926517718E-2"/>
    <n v="299"/>
  </r>
  <r>
    <x v="363"/>
    <d v="1905-07-11T00:00:00"/>
    <x v="5"/>
    <n v="347.23001099999999"/>
    <n v="348.5"/>
    <n v="339.25"/>
    <n v="343.42999300000002"/>
    <n v="343.42999300000002"/>
    <n v="-3.8000179999999659"/>
    <n v="6209300"/>
    <n v="-9.9502487562189004E-2"/>
    <n v="-40"/>
    <n v="-1.0943806352037832E-2"/>
    <n v="402"/>
  </r>
  <r>
    <x v="364"/>
    <d v="1905-07-11T00:00:00"/>
    <x v="5"/>
    <n v="341.63000499999998"/>
    <n v="343.39999399999999"/>
    <n v="336.16000400000001"/>
    <n v="339.73001099999999"/>
    <n v="339.73001099999999"/>
    <n v="-1.8999939999999924"/>
    <n v="5019000"/>
    <n v="-8.5872576177285304E-2"/>
    <n v="-31"/>
    <n v="-5.5615548171771166E-3"/>
    <n v="361"/>
  </r>
  <r>
    <x v="365"/>
    <d v="1905-07-11T00:00:00"/>
    <x v="5"/>
    <n v="342.69000199999999"/>
    <n v="351.76998900000001"/>
    <n v="342.05999800000001"/>
    <n v="350.61999500000002"/>
    <n v="350.61999500000002"/>
    <n v="7.9299930000000245"/>
    <n v="5358200"/>
    <n v="-2.1021021021020998E-2"/>
    <n v="-7"/>
    <n v="2.3140427073212438E-2"/>
    <n v="333"/>
  </r>
  <r>
    <x v="366"/>
    <d v="1905-07-11T00:00:00"/>
    <x v="5"/>
    <n v="355.57000699999998"/>
    <n v="361.5"/>
    <n v="353.75"/>
    <n v="357.11999500000002"/>
    <n v="357.11999500000002"/>
    <n v="1.5499880000000417"/>
    <n v="5428500"/>
    <n v="-6.8965517241379296E-2"/>
    <n v="-20"/>
    <n v="4.3591640731386033E-3"/>
    <n v="290"/>
  </r>
  <r>
    <x v="367"/>
    <d v="1905-07-11T00:00:00"/>
    <x v="5"/>
    <n v="361.72000100000002"/>
    <n v="364.73998999999998"/>
    <n v="356.11999500000002"/>
    <n v="363.51998900000001"/>
    <n v="363.51998900000001"/>
    <n v="1.7999879999999848"/>
    <n v="5667200"/>
    <n v="-9.4955489614243299E-2"/>
    <n v="-32"/>
    <n v="4.9761915156026574E-3"/>
    <n v="337"/>
  </r>
  <r>
    <x v="368"/>
    <d v="1905-07-11T00:00:00"/>
    <x v="5"/>
    <n v="365.91000400000001"/>
    <n v="370.11999500000002"/>
    <n v="361.22000100000002"/>
    <n v="365.209991"/>
    <n v="365.209991"/>
    <n v="-0.70001300000001265"/>
    <n v="5899500"/>
    <n v="-2.8776978417266098E-2"/>
    <n v="-8"/>
    <n v="-1.9130742323186457E-3"/>
    <n v="278"/>
  </r>
  <r>
    <x v="369"/>
    <d v="1905-07-11T00:00:00"/>
    <x v="5"/>
    <n v="365"/>
    <n v="371.45001200000002"/>
    <n v="365"/>
    <n v="369.209991"/>
    <n v="369.209991"/>
    <n v="4.2099910000000023"/>
    <n v="7448400"/>
    <n v="-0.107142857142857"/>
    <n v="-30"/>
    <n v="1.1534221917808226E-2"/>
    <n v="280"/>
  </r>
  <r>
    <x v="370"/>
    <d v="1905-07-11T00:00:00"/>
    <x v="5"/>
    <n v="370.26998900000001"/>
    <n v="375"/>
    <n v="370.20001200000002"/>
    <n v="371.040009"/>
    <n v="371.040009"/>
    <n v="0.77001999999998816"/>
    <n v="4830200"/>
    <n v="-4.6692607003891003E-2"/>
    <n v="-12"/>
    <n v="2.0796176381445491E-3"/>
    <n v="257"/>
  </r>
  <r>
    <x v="371"/>
    <d v="1905-07-11T00:00:00"/>
    <x v="5"/>
    <n v="370.75"/>
    <n v="371"/>
    <n v="358.290009"/>
    <n v="360.29998799999998"/>
    <n v="360.29998799999998"/>
    <n v="-10.450012000000015"/>
    <n v="5750400"/>
    <n v="-5.9561128526645697E-2"/>
    <n v="-19"/>
    <n v="-2.8186141604855063E-2"/>
    <n v="319"/>
  </r>
  <r>
    <x v="372"/>
    <d v="1905-07-11T00:00:00"/>
    <x v="5"/>
    <n v="361.60000600000001"/>
    <n v="366.790009"/>
    <n v="361.60000600000001"/>
    <n v="362.20001200000002"/>
    <n v="362.20001200000002"/>
    <n v="0.60000600000000759"/>
    <n v="3669700"/>
    <n v="-0.12237762237762199"/>
    <n v="-35"/>
    <n v="1.6593086007858295E-3"/>
    <n v="286"/>
  </r>
  <r>
    <x v="373"/>
    <d v="1905-07-11T00:00:00"/>
    <x v="5"/>
    <n v="363.20001200000002"/>
    <n v="370.85000600000001"/>
    <n v="363.20001200000002"/>
    <n v="370.01998900000001"/>
    <n v="370.01998900000001"/>
    <n v="6.8199769999999944"/>
    <n v="4138600"/>
    <n v="-7.5409836065573693E-2"/>
    <n v="-23"/>
    <n v="1.8777469093255412E-2"/>
    <n v="305"/>
  </r>
  <r>
    <x v="374"/>
    <d v="1905-07-11T00:00:00"/>
    <x v="5"/>
    <n v="370.26001000000002"/>
    <n v="371.540009"/>
    <n v="364.86999500000002"/>
    <n v="367.32000699999998"/>
    <n v="367.32000699999998"/>
    <n v="-2.940003000000047"/>
    <n v="4592700"/>
    <n v="-9.4827586206896505E-2"/>
    <n v="-22"/>
    <n v="-7.9403741170969207E-3"/>
    <n v="232"/>
  </r>
  <r>
    <x v="375"/>
    <d v="1905-07-11T00:00:00"/>
    <x v="6"/>
    <n v="373.5"/>
    <n v="376.66000400000001"/>
    <n v="372"/>
    <n v="374.60000600000001"/>
    <n v="374.60000600000001"/>
    <n v="1.1000060000000076"/>
    <n v="4992600"/>
    <n v="-4.0983606557376998E-2"/>
    <n v="-10"/>
    <n v="2.9451298527443308E-3"/>
    <n v="244"/>
  </r>
  <r>
    <x v="376"/>
    <d v="1905-07-11T00:00:00"/>
    <x v="6"/>
    <n v="374.89001500000001"/>
    <n v="376"/>
    <n v="370.30999800000001"/>
    <n v="375.42999300000002"/>
    <n v="375.42999300000002"/>
    <n v="0.53997800000001916"/>
    <n v="3625000"/>
    <n v="-8.66141732283464E-2"/>
    <n v="-22"/>
    <n v="1.4403637824283455E-3"/>
    <n v="254"/>
  </r>
  <r>
    <x v="377"/>
    <d v="1905-07-11T00:00:00"/>
    <x v="6"/>
    <n v="376.69000199999999"/>
    <n v="381.98998999999998"/>
    <n v="375.83999599999999"/>
    <n v="381.72000100000002"/>
    <n v="381.72000100000002"/>
    <n v="5.0299990000000321"/>
    <n v="3799000"/>
    <n v="-3.8461538461538401E-2"/>
    <n v="-11"/>
    <n v="1.3353152388684933E-2"/>
    <n v="286"/>
  </r>
  <r>
    <x v="378"/>
    <d v="1905-07-11T00:00:00"/>
    <x v="6"/>
    <n v="378.290009"/>
    <n v="381.39999399999999"/>
    <n v="375.55999800000001"/>
    <n v="380.54998799999998"/>
    <n v="380.54998799999998"/>
    <n v="2.2599789999999871"/>
    <n v="3732200"/>
    <n v="-9.0047393364928896E-2"/>
    <n v="-19"/>
    <n v="5.9741969024616429E-3"/>
    <n v="211"/>
  </r>
  <r>
    <x v="379"/>
    <d v="1905-07-11T00:00:00"/>
    <x v="6"/>
    <n v="378.19000199999999"/>
    <n v="378.25"/>
    <n v="375.35998499999999"/>
    <n v="376.16000400000001"/>
    <n v="376.16000400000001"/>
    <n v="-2.0299979999999778"/>
    <n v="3113400"/>
    <n v="-0.101626016260162"/>
    <n v="-25"/>
    <n v="-5.3676670172787327E-3"/>
    <n v="246"/>
  </r>
  <r>
    <x v="380"/>
    <d v="1905-07-11T00:00:00"/>
    <x v="6"/>
    <n v="379.05999800000001"/>
    <n v="384.76001000000002"/>
    <n v="377.5"/>
    <n v="379.92999300000002"/>
    <n v="379.92999300000002"/>
    <n v="0.86999500000001717"/>
    <n v="6932800"/>
    <n v="-7.8671328671328603E-2"/>
    <n v="-45"/>
    <n v="2.2951379849899573E-3"/>
    <n v="572"/>
  </r>
  <r>
    <x v="381"/>
    <d v="1905-07-11T00:00:00"/>
    <x v="6"/>
    <n v="382.76998900000001"/>
    <n v="384.33999599999999"/>
    <n v="362.67999300000002"/>
    <n v="381"/>
    <n v="381"/>
    <n v="-1.7699890000000096"/>
    <n v="5878800"/>
    <n v="-0.15777777777777699"/>
    <n v="-71"/>
    <n v="-4.6241582435032789E-3"/>
    <n v="450"/>
  </r>
  <r>
    <x v="382"/>
    <d v="1905-07-11T00:00:00"/>
    <x v="6"/>
    <n v="381.10000600000001"/>
    <n v="384.540009"/>
    <n v="378.79998799999998"/>
    <n v="379.5"/>
    <n v="379.5"/>
    <n v="-1.6000060000000076"/>
    <n v="4336300"/>
    <n v="-6.9306930693069299E-2"/>
    <n v="-21"/>
    <n v="-4.1983888082122141E-3"/>
    <n v="303"/>
  </r>
  <r>
    <x v="383"/>
    <d v="1905-07-11T00:00:00"/>
    <x v="6"/>
    <n v="378.67999300000002"/>
    <n v="379.73998999999998"/>
    <n v="372.790009"/>
    <n v="373.25"/>
    <n v="373.25"/>
    <n v="-5.4299930000000245"/>
    <n v="6636900"/>
    <n v="-6.25E-2"/>
    <n v="-22"/>
    <n v="-1.4339265607834804E-2"/>
    <n v="352"/>
  </r>
  <r>
    <x v="384"/>
    <d v="1905-07-11T00:00:00"/>
    <x v="6"/>
    <n v="372.94000199999999"/>
    <n v="373.67999300000002"/>
    <n v="362.29998799999998"/>
    <n v="366.60000600000001"/>
    <n v="366.60000600000001"/>
    <n v="-6.3399959999999851"/>
    <n v="7944700"/>
    <n v="-7.5892857142857095E-2"/>
    <n v="-34"/>
    <n v="-1.700004281117579E-2"/>
    <n v="448"/>
  </r>
  <r>
    <x v="385"/>
    <d v="1905-07-11T00:00:00"/>
    <x v="6"/>
    <n v="370.08999599999999"/>
    <n v="371.33999599999999"/>
    <n v="364.92001299999998"/>
    <n v="365.98998999999998"/>
    <n v="365.98998999999998"/>
    <n v="-4.1000060000000076"/>
    <n v="5863200"/>
    <n v="-6.2656641604009994E-2"/>
    <n v="-25"/>
    <n v="-1.1078402670468314E-2"/>
    <n v="399"/>
  </r>
  <r>
    <x v="386"/>
    <d v="1905-07-11T00:00:00"/>
    <x v="6"/>
    <n v="366.25"/>
    <n v="366.5"/>
    <n v="361.75"/>
    <n v="362.44000199999999"/>
    <n v="362.44000199999999"/>
    <n v="-3.8099980000000073"/>
    <n v="13639500"/>
    <n v="-0.17253521126760499"/>
    <n v="-343"/>
    <n v="-1.0402724914675789E-2"/>
    <n v="1988"/>
  </r>
  <r>
    <x v="387"/>
    <d v="1905-07-11T00:00:00"/>
    <x v="6"/>
    <n v="323.76001000000002"/>
    <n v="329.85000600000001"/>
    <n v="320.29998799999998"/>
    <n v="325.209991"/>
    <n v="325.209991"/>
    <n v="1.4499809999999798"/>
    <n v="31287100"/>
    <n v="-0.163402350307778"/>
    <n v="-292"/>
    <n v="4.4785673190459183E-3"/>
    <n v="1787"/>
  </r>
  <r>
    <x v="388"/>
    <d v="1905-07-11T00:00:00"/>
    <x v="6"/>
    <n v="323.39999399999999"/>
    <n v="325.85000600000001"/>
    <n v="314.23001099999999"/>
    <n v="315.10000600000001"/>
    <n v="315.10000600000001"/>
    <n v="-8.2999879999999848"/>
    <n v="16302500"/>
    <n v="-0.18019480519480499"/>
    <n v="-111"/>
    <n v="-2.5664774749501032E-2"/>
    <n v="616"/>
  </r>
  <r>
    <x v="389"/>
    <d v="1905-07-11T00:00:00"/>
    <x v="6"/>
    <n v="312"/>
    <n v="314.540009"/>
    <n v="305.80999800000001"/>
    <n v="310.61999500000002"/>
    <n v="310.61999500000002"/>
    <n v="-1.3800049999999828"/>
    <n v="17718000"/>
    <n v="-8.66666666666666E-2"/>
    <n v="-52"/>
    <n v="-4.4230929487178933E-3"/>
    <n v="600"/>
  </r>
  <r>
    <x v="390"/>
    <d v="1905-07-11T00:00:00"/>
    <x v="6"/>
    <n v="311.44000199999999"/>
    <n v="313.5"/>
    <n v="306"/>
    <n v="307.29998799999998"/>
    <n v="307.29998799999998"/>
    <n v="-4.1400140000000079"/>
    <n v="9171100"/>
    <n v="-0.17647058823529399"/>
    <n v="-81"/>
    <n v="-1.3293135028942133E-2"/>
    <n v="459"/>
  </r>
  <r>
    <x v="391"/>
    <d v="1905-07-11T00:00:00"/>
    <x v="6"/>
    <n v="310.51001000000002"/>
    <n v="319.98998999999998"/>
    <n v="307.25"/>
    <n v="317.94000199999999"/>
    <n v="317.94000199999999"/>
    <n v="7.4299919999999702"/>
    <n v="11961800"/>
    <n v="-5.96330275229357E-2"/>
    <n v="-39"/>
    <n v="2.392834936303654E-2"/>
    <n v="654"/>
  </r>
  <r>
    <x v="392"/>
    <d v="1905-07-11T00:00:00"/>
    <x v="6"/>
    <n v="318.85998499999999"/>
    <n v="327.69000199999999"/>
    <n v="316.29998799999998"/>
    <n v="326.459991"/>
    <n v="326.459991"/>
    <n v="7.6000060000000076"/>
    <n v="10798500"/>
    <n v="-9.9667774086378003E-3"/>
    <n v="-6"/>
    <n v="2.3834931811842139E-2"/>
    <n v="602"/>
  </r>
  <r>
    <x v="393"/>
    <d v="1905-07-11T00:00:00"/>
    <x v="6"/>
    <n v="328.790009"/>
    <n v="336"/>
    <n v="327.5"/>
    <n v="335.77999899999998"/>
    <n v="335.77999899999998"/>
    <n v="6.9899899999999775"/>
    <n v="10847500"/>
    <n v="-3.55555555555555E-2"/>
    <n v="-16"/>
    <n v="2.1259739677795313E-2"/>
    <n v="450"/>
  </r>
  <r>
    <x v="394"/>
    <d v="1905-07-11T00:00:00"/>
    <x v="6"/>
    <n v="335.98001099999999"/>
    <n v="336.39999399999999"/>
    <n v="328.76998900000001"/>
    <n v="332.70001200000002"/>
    <n v="332.70001200000002"/>
    <n v="-3.2799989999999752"/>
    <n v="5782800"/>
    <n v="-0.12250712250712199"/>
    <n v="-43"/>
    <n v="-9.7624825662618823E-3"/>
    <n v="351"/>
  </r>
  <r>
    <x v="395"/>
    <d v="1905-07-11T00:00:00"/>
    <x v="6"/>
    <n v="329.20001200000002"/>
    <n v="329.64999399999999"/>
    <n v="323.23001099999999"/>
    <n v="325.92999300000002"/>
    <n v="325.92999300000002"/>
    <n v="-3.2700189999999907"/>
    <n v="6029300"/>
    <n v="-0.14647887323943601"/>
    <n v="-52"/>
    <n v="-9.9332286780110766E-3"/>
    <n v="355"/>
  </r>
  <r>
    <x v="396"/>
    <d v="1905-07-11T00:00:00"/>
    <x v="6"/>
    <n v="325.16000400000001"/>
    <n v="331.76998900000001"/>
    <n v="318.52999899999998"/>
    <n v="322.98998999999998"/>
    <n v="322.98998999999998"/>
    <n v="-2.1700140000000374"/>
    <n v="6259500"/>
    <n v="-0.13505747126436701"/>
    <n v="-47"/>
    <n v="-6.6736805674293123E-3"/>
    <n v="348"/>
  </r>
  <r>
    <x v="397"/>
    <d v="1905-07-11T00:00:00"/>
    <x v="7"/>
    <n v="324.25"/>
    <n v="328.57998700000002"/>
    <n v="318.73998999999998"/>
    <n v="319.5"/>
    <n v="319.5"/>
    <n v="-4.75"/>
    <n v="6563200"/>
    <n v="-0.116104868913857"/>
    <n v="-31"/>
    <n v="-1.4649190439475714E-2"/>
    <n v="267"/>
  </r>
  <r>
    <x v="398"/>
    <d v="1905-07-11T00:00:00"/>
    <x v="7"/>
    <n v="317.48998999999998"/>
    <n v="319.41000400000001"/>
    <n v="311.79998799999998"/>
    <n v="318.82998700000002"/>
    <n v="318.82998700000002"/>
    <n v="1.3399970000000394"/>
    <n v="6280300"/>
    <n v="-8.4677419354838704E-2"/>
    <n v="-21"/>
    <n v="4.2205960572175502E-3"/>
    <n v="248"/>
  </r>
  <r>
    <x v="399"/>
    <d v="1905-07-11T00:00:00"/>
    <x v="7"/>
    <n v="310.959991"/>
    <n v="313.42001299999998"/>
    <n v="304.67999300000002"/>
    <n v="307.63000499999998"/>
    <n v="307.63000499999998"/>
    <n v="-3.3299860000000194"/>
    <n v="8692500"/>
    <n v="-0.14041095890410901"/>
    <n v="-41"/>
    <n v="-1.0708728120589699E-2"/>
    <n v="292"/>
  </r>
  <r>
    <x v="400"/>
    <d v="1905-07-11T00:00:00"/>
    <x v="7"/>
    <n v="310.57998700000002"/>
    <n v="311.88000499999998"/>
    <n v="305.29998799999998"/>
    <n v="310.10000600000001"/>
    <n v="310.10000600000001"/>
    <n v="-0.47998100000000932"/>
    <n v="6179100"/>
    <n v="-0.143661971830985"/>
    <n v="-51"/>
    <n v="-1.5454344133255737E-3"/>
    <n v="355"/>
  </r>
  <r>
    <x v="401"/>
    <d v="1905-07-11T00:00:00"/>
    <x v="7"/>
    <n v="302.55999800000001"/>
    <n v="305"/>
    <n v="296.80999800000001"/>
    <n v="304.290009"/>
    <n v="304.290009"/>
    <n v="1.7300109999999904"/>
    <n v="9322400"/>
    <n v="-0.116550116550116"/>
    <n v="-50"/>
    <n v="5.7179105348883243E-3"/>
    <n v="429"/>
  </r>
  <r>
    <x v="402"/>
    <d v="1905-07-11T00:00:00"/>
    <x v="7"/>
    <n v="311.02999899999998"/>
    <n v="316.35998499999999"/>
    <n v="306.63000499999998"/>
    <n v="315.89999399999999"/>
    <n v="315.89999399999999"/>
    <n v="4.8699950000000172"/>
    <n v="5905900"/>
    <n v="-4.7887323943661901E-2"/>
    <n v="-17"/>
    <n v="1.5657637577267965E-2"/>
    <n v="355"/>
  </r>
  <r>
    <x v="403"/>
    <d v="1905-07-11T00:00:00"/>
    <x v="7"/>
    <n v="313.73998999999998"/>
    <n v="316.64001500000001"/>
    <n v="305.67999300000002"/>
    <n v="308.92999300000002"/>
    <n v="308.92999300000002"/>
    <n v="-4.809996999999953"/>
    <n v="5349100"/>
    <n v="-2.6785714285714201E-2"/>
    <n v="-6"/>
    <n v="-1.5331156860175693E-2"/>
    <n v="224"/>
  </r>
  <r>
    <x v="404"/>
    <d v="1905-07-11T00:00:00"/>
    <x v="7"/>
    <n v="305.459991"/>
    <n v="312.89001500000001"/>
    <n v="303.23998999999998"/>
    <n v="310.82998700000002"/>
    <n v="310.82998700000002"/>
    <n v="5.3699960000000146"/>
    <n v="6531700"/>
    <n v="-5.6537102473498198E-2"/>
    <n v="-16"/>
    <n v="1.7580030636483633E-2"/>
    <n v="283"/>
  </r>
  <r>
    <x v="405"/>
    <d v="1905-07-11T00:00:00"/>
    <x v="7"/>
    <n v="309.76998900000001"/>
    <n v="316.42999300000002"/>
    <n v="308.16000400000001"/>
    <n v="312.27999899999998"/>
    <n v="312.27999899999998"/>
    <n v="2.5100099999999657"/>
    <n v="5289400"/>
    <n v="-9.5940959409594101E-2"/>
    <n v="-26"/>
    <n v="8.10281850770239E-3"/>
    <n v="271"/>
  </r>
  <r>
    <x v="406"/>
    <d v="1905-07-11T00:00:00"/>
    <x v="7"/>
    <n v="308.01001000000002"/>
    <n v="308.41000400000001"/>
    <n v="298.01001000000002"/>
    <n v="299.10998499999999"/>
    <n v="299.10998499999999"/>
    <n v="-8.9000250000000278"/>
    <n v="7355800"/>
    <n v="-0.17314487632508799"/>
    <n v="-49"/>
    <n v="-2.8895245969441145E-2"/>
    <n v="283"/>
  </r>
  <r>
    <x v="407"/>
    <d v="1905-07-11T00:00:00"/>
    <x v="7"/>
    <n v="299.5"/>
    <n v="300.63000499999998"/>
    <n v="288"/>
    <n v="295.76001000000002"/>
    <n v="295.76001000000002"/>
    <n v="-3.7399899999999775"/>
    <n v="9629200"/>
    <n v="-7.3529411764705802E-2"/>
    <n v="-25"/>
    <n v="-1.2487445742904767E-2"/>
    <n v="340"/>
  </r>
  <r>
    <x v="408"/>
    <d v="1905-07-11T00:00:00"/>
    <x v="7"/>
    <n v="298.85998499999999"/>
    <n v="303.54998799999998"/>
    <n v="296.26998900000001"/>
    <n v="302.79998799999998"/>
    <n v="302.79998799999998"/>
    <n v="3.9400029999999902"/>
    <n v="6905800"/>
    <n v="-0.11764705882352899"/>
    <n v="-36"/>
    <n v="1.3183441068565905E-2"/>
    <n v="306"/>
  </r>
  <r>
    <x v="409"/>
    <d v="1905-07-11T00:00:00"/>
    <x v="7"/>
    <n v="306.25"/>
    <n v="311.75"/>
    <n v="304.75"/>
    <n v="309.38000499999998"/>
    <n v="309.38000499999998"/>
    <n v="3.1300049999999828"/>
    <n v="4942200"/>
    <n v="-6.6666666666666596E-2"/>
    <n v="-31"/>
    <n v="1.0220424489795862E-2"/>
    <n v="465"/>
  </r>
  <r>
    <x v="410"/>
    <d v="1905-07-11T00:00:00"/>
    <x v="7"/>
    <n v="304.57000699999998"/>
    <n v="305"/>
    <n v="297.67999300000002"/>
    <n v="298.98998999999998"/>
    <n v="298.98998999999998"/>
    <n v="-5.580016999999998"/>
    <n v="7349900"/>
    <n v="-0.117328519855595"/>
    <n v="-65"/>
    <n v="-1.8320966844250025E-2"/>
    <n v="554"/>
  </r>
  <r>
    <x v="411"/>
    <d v="1905-07-11T00:00:00"/>
    <x v="7"/>
    <n v="301.60998499999999"/>
    <n v="302.88000499999998"/>
    <n v="296.20001200000002"/>
    <n v="297.80999800000001"/>
    <n v="297.80999800000001"/>
    <n v="-3.7999869999999873"/>
    <n v="5685400"/>
    <n v="-0.13409961685823699"/>
    <n v="-70"/>
    <n v="-1.2599009280146966E-2"/>
    <n v="522"/>
  </r>
  <r>
    <x v="412"/>
    <d v="1905-07-11T00:00:00"/>
    <x v="7"/>
    <n v="298.64999399999999"/>
    <n v="300.32998700000002"/>
    <n v="293.14999399999999"/>
    <n v="296.92999300000002"/>
    <n v="296.92999300000002"/>
    <n v="-1.7200009999999679"/>
    <n v="4974200"/>
    <n v="-0.109339407744874"/>
    <n v="-48"/>
    <n v="-5.7592534222517611E-3"/>
    <n v="439"/>
  </r>
  <r>
    <x v="413"/>
    <d v="1905-07-11T00:00:00"/>
    <x v="7"/>
    <n v="295"/>
    <n v="299.01001000000002"/>
    <n v="290.32000699999998"/>
    <n v="291.44000199999999"/>
    <n v="291.44000199999999"/>
    <n v="-3.5599980000000073"/>
    <n v="6324900"/>
    <n v="-0.116772823779193"/>
    <n v="-55"/>
    <n v="-1.2067789830508499E-2"/>
    <n v="471"/>
  </r>
  <r>
    <x v="414"/>
    <d v="1905-07-11T00:00:00"/>
    <x v="7"/>
    <n v="295.23998999999998"/>
    <n v="296.95001200000002"/>
    <n v="292.5"/>
    <n v="294.98001099999999"/>
    <n v="294.98001099999999"/>
    <n v="-0.25997899999998708"/>
    <n v="4695700"/>
    <n v="-8.7606837606837601E-2"/>
    <n v="-41"/>
    <n v="-8.8056838099739507E-4"/>
    <n v="468"/>
  </r>
  <r>
    <x v="415"/>
    <d v="1905-07-11T00:00:00"/>
    <x v="7"/>
    <n v="294.540009"/>
    <n v="296.76998900000001"/>
    <n v="287.20001200000002"/>
    <n v="291.02999899999998"/>
    <n v="291.02999899999998"/>
    <n v="-3.5100100000000225"/>
    <n v="6309400"/>
    <n v="-0.15415821501014099"/>
    <n v="-76"/>
    <n v="-1.191692093687694E-2"/>
    <n v="493"/>
  </r>
  <r>
    <x v="416"/>
    <d v="1905-07-11T00:00:00"/>
    <x v="7"/>
    <n v="289.47000100000002"/>
    <n v="292.82000699999998"/>
    <n v="287.75"/>
    <n v="291.76998900000001"/>
    <n v="291.76998900000001"/>
    <n v="2.2999879999999848"/>
    <n v="3955700"/>
    <n v="-0.113243761996161"/>
    <n v="-59"/>
    <n v="7.9455141881869286E-3"/>
    <n v="521"/>
  </r>
  <r>
    <x v="417"/>
    <d v="1905-07-11T00:00:00"/>
    <x v="7"/>
    <n v="295"/>
    <n v="299.92999300000002"/>
    <n v="294.98998999999998"/>
    <n v="296.77999899999998"/>
    <n v="296.77999899999998"/>
    <n v="1.7799989999999752"/>
    <n v="4388500"/>
    <n v="-6.8265682656826504E-2"/>
    <n v="-37"/>
    <n v="6.0338949152541534E-3"/>
    <n v="542"/>
  </r>
  <r>
    <x v="418"/>
    <d v="1905-07-11T00:00:00"/>
    <x v="7"/>
    <n v="298.77999899999998"/>
    <n v="298.94000199999999"/>
    <n v="290.85000600000001"/>
    <n v="293.75"/>
    <n v="293.75"/>
    <n v="-5.0299989999999752"/>
    <n v="4446400"/>
    <n v="-0.101351351351351"/>
    <n v="-45"/>
    <n v="-1.6835126236143992E-2"/>
    <n v="444"/>
  </r>
  <r>
    <x v="419"/>
    <d v="1905-07-11T00:00:00"/>
    <x v="8"/>
    <n v="290.82000699999998"/>
    <n v="293.89999399999999"/>
    <n v="288.05999800000001"/>
    <n v="289.290009"/>
    <n v="289.290009"/>
    <n v="-1.5299979999999778"/>
    <n v="3682800"/>
    <n v="-7.25806451612903E-2"/>
    <n v="-36"/>
    <n v="-5.2609791732794297E-3"/>
    <n v="496"/>
  </r>
  <r>
    <x v="420"/>
    <d v="1905-07-11T00:00:00"/>
    <x v="8"/>
    <n v="291.25"/>
    <n v="292.38000499999998"/>
    <n v="286.51001000000002"/>
    <n v="291.51998900000001"/>
    <n v="291.51998900000001"/>
    <n v="0.26998900000000958"/>
    <n v="4652500"/>
    <n v="-6.8000000000000005E-2"/>
    <n v="-34"/>
    <n v="9.2700085836913161E-4"/>
    <n v="500"/>
  </r>
  <r>
    <x v="421"/>
    <d v="1905-07-11T00:00:00"/>
    <x v="8"/>
    <n v="285.32000699999998"/>
    <n v="293.97000100000002"/>
    <n v="282.790009"/>
    <n v="293.25"/>
    <n v="293.25"/>
    <n v="7.9299930000000245"/>
    <n v="8966800"/>
    <n v="-8.8277858176555701E-2"/>
    <n v="-61"/>
    <n v="2.7793329613930738E-2"/>
    <n v="691"/>
  </r>
  <r>
    <x v="422"/>
    <d v="1905-07-11T00:00:00"/>
    <x v="8"/>
    <n v="293.35000600000001"/>
    <n v="293.35000600000001"/>
    <n v="287.02999899999998"/>
    <n v="290.17001299999998"/>
    <n v="290.17001299999998"/>
    <n v="-3.1799930000000245"/>
    <n v="5166600"/>
    <n v="-6.6115702479338803E-2"/>
    <n v="-32"/>
    <n v="-1.0840269081160422E-2"/>
    <n v="484"/>
  </r>
  <r>
    <x v="423"/>
    <d v="1905-07-11T00:00:00"/>
    <x v="8"/>
    <n v="294.80999800000001"/>
    <n v="301.54998799999998"/>
    <n v="290.60000600000001"/>
    <n v="294.33999599999999"/>
    <n v="294.33999599999999"/>
    <n v="-0.47000200000002224"/>
    <n v="8232700"/>
    <n v="-7.8048780487804795E-2"/>
    <n v="-32"/>
    <n v="-1.5942539370731321E-3"/>
    <n v="410"/>
  </r>
  <r>
    <x v="424"/>
    <d v="1905-07-11T00:00:00"/>
    <x v="8"/>
    <n v="291.16000400000001"/>
    <n v="297.17001299999998"/>
    <n v="282.66000400000001"/>
    <n v="287.98998999999998"/>
    <n v="287.98998999999998"/>
    <n v="-3.1700140000000374"/>
    <n v="12320200"/>
    <n v="-0.13186813186813101"/>
    <n v="-96"/>
    <n v="-1.088753247853382E-2"/>
    <n v="728"/>
  </r>
  <r>
    <x v="425"/>
    <d v="1905-07-11T00:00:00"/>
    <x v="8"/>
    <n v="285.70001200000002"/>
    <n v="292.64999399999999"/>
    <n v="284.60998499999999"/>
    <n v="288.26998900000001"/>
    <n v="288.26998900000001"/>
    <n v="2.5699769999999944"/>
    <n v="7405900"/>
    <n v="-0.11749999999999999"/>
    <n v="-47"/>
    <n v="8.9953688906390192E-3"/>
    <n v="400"/>
  </r>
  <r>
    <x v="426"/>
    <d v="1905-07-11T00:00:00"/>
    <x v="8"/>
    <n v="288.10000600000001"/>
    <n v="292.73001099999999"/>
    <n v="286.60000600000001"/>
    <n v="288.85998499999999"/>
    <n v="288.85998499999999"/>
    <n v="0.75997899999998708"/>
    <n v="5010900"/>
    <n v="-8.4142394822006403E-2"/>
    <n v="-26"/>
    <n v="2.6378999797729511E-3"/>
    <n v="309"/>
  </r>
  <r>
    <x v="427"/>
    <d v="1905-07-11T00:00:00"/>
    <x v="8"/>
    <n v="290.60998499999999"/>
    <n v="296.61999500000002"/>
    <n v="290.040009"/>
    <n v="294.14999399999999"/>
    <n v="294.14999399999999"/>
    <n v="3.5400089999999977"/>
    <n v="6583100"/>
    <n v="-6.4425770308123201E-2"/>
    <n v="-23"/>
    <n v="1.2181305470285193E-2"/>
    <n v="357"/>
  </r>
  <r>
    <x v="428"/>
    <d v="1905-07-11T00:00:00"/>
    <x v="8"/>
    <n v="294.23001099999999"/>
    <n v="297.42999300000002"/>
    <n v="289.77999899999998"/>
    <n v="294.290009"/>
    <n v="294.290009"/>
    <n v="5.9998000000007323E-2"/>
    <n v="5307400"/>
    <n v="-0.107981220657277"/>
    <n v="-46"/>
    <n v="2.0391529673024185E-4"/>
    <n v="426"/>
  </r>
  <r>
    <x v="429"/>
    <d v="1905-07-11T00:00:00"/>
    <x v="8"/>
    <n v="294.5"/>
    <n v="299.14999399999999"/>
    <n v="291.790009"/>
    <n v="298.60000600000001"/>
    <n v="298.60000600000001"/>
    <n v="4.1000060000000076"/>
    <n v="4777100"/>
    <n v="-5.4187192118226597E-2"/>
    <n v="-22"/>
    <n v="1.392192190152804E-2"/>
    <n v="406"/>
  </r>
  <r>
    <x v="430"/>
    <d v="1905-07-11T00:00:00"/>
    <x v="8"/>
    <n v="294.98998999999998"/>
    <n v="296.04998799999998"/>
    <n v="287.45001200000002"/>
    <n v="291.55999800000001"/>
    <n v="291.55999800000001"/>
    <n v="-3.4299919999999702"/>
    <n v="7811100"/>
    <n v="-0.113526570048309"/>
    <n v="-47"/>
    <n v="-1.1627486071645925E-2"/>
    <n v="414"/>
  </r>
  <r>
    <x v="431"/>
    <d v="1905-07-11T00:00:00"/>
    <x v="8"/>
    <n v="291.55999800000001"/>
    <n v="293.80999800000001"/>
    <n v="283.39999399999999"/>
    <n v="286.60000600000001"/>
    <n v="286.60000600000001"/>
    <n v="-4.9599919999999997"/>
    <n v="8461300"/>
    <n v="-0.18363273453093801"/>
    <n v="-92"/>
    <n v="-1.7011908471751325E-2"/>
    <n v="501"/>
  </r>
  <r>
    <x v="432"/>
    <d v="1905-07-11T00:00:00"/>
    <x v="8"/>
    <n v="280.26001000000002"/>
    <n v="282.5"/>
    <n v="266"/>
    <n v="270.75"/>
    <n v="270.75"/>
    <n v="-9.5100100000000225"/>
    <n v="23832800"/>
    <n v="-0.13767342582710701"/>
    <n v="-129"/>
    <n v="-3.393281117773464E-2"/>
    <n v="937"/>
  </r>
  <r>
    <x v="433"/>
    <d v="1905-07-11T00:00:00"/>
    <x v="8"/>
    <n v="268.35000600000001"/>
    <n v="273.39001500000001"/>
    <n v="261.89001500000001"/>
    <n v="265.92001299999998"/>
    <n v="265.92001299999998"/>
    <n v="-2.4299930000000245"/>
    <n v="13478600"/>
    <n v="-0.12724550898203499"/>
    <n v="-85"/>
    <n v="-9.0553118899502627E-3"/>
    <n v="668"/>
  </r>
  <r>
    <x v="434"/>
    <d v="1905-07-11T00:00:00"/>
    <x v="8"/>
    <n v="262.5"/>
    <n v="265"/>
    <n v="252.279999"/>
    <n v="254.58999600000001"/>
    <n v="254.58999600000001"/>
    <n v="-7.9100039999999865"/>
    <n v="16338200"/>
    <n v="-0.12207792207792199"/>
    <n v="-94"/>
    <n v="-3.013334857142852E-2"/>
    <n v="770"/>
  </r>
  <r>
    <x v="435"/>
    <d v="1905-07-11T00:00:00"/>
    <x v="8"/>
    <n v="255.71000699999999"/>
    <n v="266.60000600000001"/>
    <n v="253.699997"/>
    <n v="264.75"/>
    <n v="264.75"/>
    <n v="9.0399930000000097"/>
    <n v="11643800"/>
    <n v="-0.11048689138576701"/>
    <n v="-59"/>
    <n v="3.5352519465536636E-2"/>
    <n v="534"/>
  </r>
  <r>
    <x v="436"/>
    <d v="1905-07-11T00:00:00"/>
    <x v="8"/>
    <n v="266.42001299999998"/>
    <n v="268.04998799999998"/>
    <n v="260.20001200000002"/>
    <n v="263.30999800000001"/>
    <n v="263.30999800000001"/>
    <n v="-3.1100149999999758"/>
    <n v="7684000"/>
    <n v="-0.11734693877551"/>
    <n v="-46"/>
    <n v="-1.1673353532941896E-2"/>
    <n v="392"/>
  </r>
  <r>
    <x v="437"/>
    <d v="1905-07-11T00:00:00"/>
    <x v="8"/>
    <n v="266.17999300000002"/>
    <n v="267.44000199999999"/>
    <n v="260.39001500000001"/>
    <n v="263.07998700000002"/>
    <n v="263.07998700000002"/>
    <n v="-3.1000060000000076"/>
    <n v="7328300"/>
    <n v="-9.3373493975903596E-2"/>
    <n v="-31"/>
    <n v="-1.1646277261717439E-2"/>
    <n v="332"/>
  </r>
  <r>
    <x v="438"/>
    <d v="1905-07-11T00:00:00"/>
    <x v="8"/>
    <n v="264"/>
    <n v="268.88000499999998"/>
    <n v="262.77999899999998"/>
    <n v="267.61999500000002"/>
    <n v="267.61999500000002"/>
    <n v="3.6199950000000172"/>
    <n v="6727200"/>
    <n v="-5.6338028169014003E-2"/>
    <n v="-16"/>
    <n v="1.3712102272727338E-2"/>
    <n v="284"/>
  </r>
  <r>
    <x v="439"/>
    <d v="1905-07-11T00:00:00"/>
    <x v="9"/>
    <n v="267.35000600000001"/>
    <n v="272.20001200000002"/>
    <n v="264.02999899999998"/>
    <n v="269.57998700000002"/>
    <n v="269.57998700000002"/>
    <n v="2.2299810000000093"/>
    <n v="8650300"/>
    <n v="-6.3400576368875999E-2"/>
    <n v="-22"/>
    <n v="8.3410546098884666E-3"/>
    <n v="347"/>
  </r>
  <r>
    <x v="440"/>
    <d v="1905-07-11T00:00:00"/>
    <x v="9"/>
    <n v="263.60998499999999"/>
    <n v="269.35000600000001"/>
    <n v="262.19000199999999"/>
    <n v="268.02999899999998"/>
    <n v="268.02999899999998"/>
    <n v="4.4200139999999806"/>
    <n v="7659100"/>
    <n v="-8.6705202312138699E-2"/>
    <n v="-30"/>
    <n v="1.6767248023628469E-2"/>
    <n v="346"/>
  </r>
  <r>
    <x v="441"/>
    <d v="1905-07-11T00:00:00"/>
    <x v="9"/>
    <n v="267.77999899999998"/>
    <n v="268.83999599999999"/>
    <n v="257.01001000000002"/>
    <n v="268.14999399999999"/>
    <n v="268.14999399999999"/>
    <n v="0.36999500000001717"/>
    <n v="8951000"/>
    <n v="-0.107871720116618"/>
    <n v="-37"/>
    <n v="1.3817126050553806E-3"/>
    <n v="343"/>
  </r>
  <r>
    <x v="442"/>
    <d v="1905-07-11T00:00:00"/>
    <x v="9"/>
    <n v="268.20001200000002"/>
    <n v="275.48001099999999"/>
    <n v="266.47000100000002"/>
    <n v="272.790009"/>
    <n v="272.790009"/>
    <n v="4.5899969999999826"/>
    <n v="9890400"/>
    <n v="-0.135188866799204"/>
    <n v="-68"/>
    <n v="1.7114082008318411E-2"/>
    <n v="503"/>
  </r>
  <r>
    <x v="443"/>
    <d v="1905-07-11T00:00:00"/>
    <x v="9"/>
    <n v="271.98998999999998"/>
    <n v="276.67999300000002"/>
    <n v="271.27999899999998"/>
    <n v="274.459991"/>
    <n v="274.459991"/>
    <n v="2.4700010000000248"/>
    <n v="6525600"/>
    <n v="-9.3333333333333296E-2"/>
    <n v="-35"/>
    <n v="9.0812202316711173E-3"/>
    <n v="375"/>
  </r>
  <r>
    <x v="444"/>
    <d v="1905-07-11T00:00:00"/>
    <x v="9"/>
    <n v="273.02999899999998"/>
    <n v="275.52999899999998"/>
    <n v="270.64001500000001"/>
    <n v="270.72000100000002"/>
    <n v="270.72000100000002"/>
    <n v="-2.3099979999999505"/>
    <n v="6276400"/>
    <n v="-0.127906976744186"/>
    <n v="-44"/>
    <n v="-8.4606014301012791E-3"/>
    <n v="344"/>
  </r>
  <r>
    <x v="445"/>
    <d v="1905-07-11T00:00:00"/>
    <x v="9"/>
    <n v="270.01998900000001"/>
    <n v="271"/>
    <n v="264.57000699999998"/>
    <n v="267.52999899999998"/>
    <n v="267.52999899999998"/>
    <n v="-2.4899900000000343"/>
    <n v="6794400"/>
    <n v="-9.0909090909090898E-2"/>
    <n v="-38"/>
    <n v="-9.2215024866178861E-3"/>
    <n v="418"/>
  </r>
  <r>
    <x v="446"/>
    <d v="1905-07-11T00:00:00"/>
    <x v="9"/>
    <n v="265.97000100000002"/>
    <n v="280.52999899999998"/>
    <n v="265.02999899999998"/>
    <n v="280.48001099999999"/>
    <n v="280.48001099999999"/>
    <n v="14.510009999999966"/>
    <n v="10809100"/>
    <n v="-6.2724014336917502E-2"/>
    <n v="-35"/>
    <n v="5.4555062395927743E-2"/>
    <n v="558"/>
  </r>
  <r>
    <x v="447"/>
    <d v="1905-07-11T00:00:00"/>
    <x v="9"/>
    <n v="284.79998799999998"/>
    <n v="287.86999500000002"/>
    <n v="282.33999599999999"/>
    <n v="282.92999300000002"/>
    <n v="282.92999300000002"/>
    <n v="-1.8699949999999603"/>
    <n v="8786100"/>
    <n v="-8.2514734774066803E-2"/>
    <n v="-42"/>
    <n v="-6.5659939564321904E-3"/>
    <n v="509"/>
  </r>
  <r>
    <x v="448"/>
    <d v="1905-07-11T00:00:00"/>
    <x v="9"/>
    <n v="283.92999300000002"/>
    <n v="286.92999300000002"/>
    <n v="282"/>
    <n v="285.52999899999998"/>
    <n v="285.52999899999998"/>
    <n v="1.6000059999999507"/>
    <n v="5513200"/>
    <n v="-9.5808383233532898E-2"/>
    <n v="-32"/>
    <n v="5.6352130435193245E-3"/>
    <n v="334"/>
  </r>
  <r>
    <x v="449"/>
    <d v="1905-07-11T00:00:00"/>
    <x v="9"/>
    <n v="283.82000699999998"/>
    <n v="285.86999500000002"/>
    <n v="279.39999399999999"/>
    <n v="284.25"/>
    <n v="284.25"/>
    <n v="0.42999300000002449"/>
    <n v="7685600"/>
    <n v="-9.4262295081967207E-2"/>
    <n v="-46"/>
    <n v="1.5150200457856536E-3"/>
    <n v="488"/>
  </r>
  <r>
    <x v="450"/>
    <d v="1905-07-11T00:00:00"/>
    <x v="9"/>
    <n v="283.11999500000002"/>
    <n v="288.17001299999998"/>
    <n v="280.73998999999998"/>
    <n v="286.27999899999998"/>
    <n v="286.27999899999998"/>
    <n v="3.1600039999999581"/>
    <n v="16175900"/>
    <n v="-6.3201417601890103E-2"/>
    <n v="-107"/>
    <n v="1.1161359338113713E-2"/>
    <n v="1693"/>
  </r>
  <r>
    <x v="451"/>
    <d v="1905-07-11T00:00:00"/>
    <x v="9"/>
    <n v="304.48998999999998"/>
    <n v="308.75"/>
    <n v="288.29998799999998"/>
    <n v="293.35000600000001"/>
    <n v="293.35000600000001"/>
    <n v="-11.13998399999997"/>
    <n v="38258900"/>
    <n v="-8.7572440437862206E-2"/>
    <n v="-136"/>
    <n v="-3.6585715018086377E-2"/>
    <n v="1553"/>
  </r>
  <r>
    <x v="452"/>
    <d v="1905-07-11T00:00:00"/>
    <x v="9"/>
    <n v="289.35998499999999"/>
    <n v="290.89999399999999"/>
    <n v="273.35998499999999"/>
    <n v="275.29998799999998"/>
    <n v="275.29998799999998"/>
    <n v="-14.05999700000001"/>
    <n v="23429900"/>
    <n v="-8.9812332439678205E-2"/>
    <n v="-67"/>
    <n v="-4.8589983856959389E-2"/>
    <n v="746"/>
  </r>
  <r>
    <x v="453"/>
    <d v="1905-07-11T00:00:00"/>
    <x v="9"/>
    <n v="272.89001500000001"/>
    <n v="279.94000199999999"/>
    <n v="269"/>
    <n v="278.04998799999998"/>
    <n v="278.04998799999998"/>
    <n v="5.1599729999999795"/>
    <n v="12599200"/>
    <n v="-6.8627450980392093E-2"/>
    <n v="-35"/>
    <n v="1.8908617818061167E-2"/>
    <n v="510"/>
  </r>
  <r>
    <x v="454"/>
    <d v="1905-07-11T00:00:00"/>
    <x v="9"/>
    <n v="271.16000400000001"/>
    <n v="275.41000400000001"/>
    <n v="265.79998799999998"/>
    <n v="266.69000199999999"/>
    <n v="266.69000199999999"/>
    <n v="-4.4700020000000222"/>
    <n v="11802400"/>
    <n v="-0.14261460101867501"/>
    <n v="-84"/>
    <n v="-1.6484739393941083E-2"/>
    <n v="589"/>
  </r>
  <r>
    <x v="455"/>
    <d v="1905-07-11T00:00:00"/>
    <x v="9"/>
    <n v="268.05999800000001"/>
    <n v="273.92001299999998"/>
    <n v="266.63000499999998"/>
    <n v="271.26998900000001"/>
    <n v="271.26998900000001"/>
    <n v="3.2099910000000023"/>
    <n v="7133500"/>
    <n v="-7.4074074074074001E-2"/>
    <n v="-30"/>
    <n v="1.1974897500372294E-2"/>
    <n v="405"/>
  </r>
  <r>
    <x v="456"/>
    <d v="1905-07-11T00:00:00"/>
    <x v="9"/>
    <n v="271.80999800000001"/>
    <n v="274.01998900000001"/>
    <n v="268.79998799999998"/>
    <n v="271.5"/>
    <n v="271.5"/>
    <n v="-0.30999800000000732"/>
    <n v="4827400"/>
    <n v="-0.11724137931034399"/>
    <n v="-34"/>
    <n v="-1.1404952072440223E-3"/>
    <n v="290"/>
  </r>
  <r>
    <x v="457"/>
    <d v="1905-07-11T00:00:00"/>
    <x v="9"/>
    <n v="270.67999300000002"/>
    <n v="277.76998900000001"/>
    <n v="270.17999300000002"/>
    <n v="276.82000699999998"/>
    <n v="276.82000699999998"/>
    <n v="6.140013999999951"/>
    <n v="4747800"/>
    <n v="-9.4405594405594401E-2"/>
    <n v="-27"/>
    <n v="2.2683663952954035E-2"/>
    <n v="286"/>
  </r>
  <r>
    <x v="458"/>
    <d v="1905-07-11T00:00:00"/>
    <x v="9"/>
    <n v="278.04998799999998"/>
    <n v="285.75"/>
    <n v="277.35000600000001"/>
    <n v="281.85998499999999"/>
    <n v="281.85998499999999"/>
    <n v="3.8099970000000098"/>
    <n v="6248400"/>
    <n v="-5.7034220532319303E-2"/>
    <n v="-15"/>
    <n v="1.3702561281894426E-2"/>
    <n v="263"/>
  </r>
  <r>
    <x v="459"/>
    <d v="1905-07-11T00:00:00"/>
    <x v="9"/>
    <n v="281.86999500000002"/>
    <n v="284.41000400000001"/>
    <n v="277.54998799999998"/>
    <n v="281.209991"/>
    <n v="281.209991"/>
    <n v="-0.66000400000001491"/>
    <n v="4356200"/>
    <n v="-7.3972602739726001E-2"/>
    <n v="-27"/>
    <n v="-2.3415191815645891E-3"/>
    <n v="365"/>
  </r>
  <r>
    <x v="460"/>
    <d v="1905-07-11T00:00:00"/>
    <x v="9"/>
    <n v="284.33999599999999"/>
    <n v="293.48998999999998"/>
    <n v="283"/>
    <n v="291.45001200000002"/>
    <n v="291.45001200000002"/>
    <n v="7.1100160000000301"/>
    <n v="9345600"/>
    <n v="-7.9457364341085204E-2"/>
    <n v="-41"/>
    <n v="2.500533199698023E-2"/>
    <n v="516"/>
  </r>
  <r>
    <x v="461"/>
    <d v="1905-07-11T00:00:00"/>
    <x v="9"/>
    <n v="291"/>
    <n v="291.45001200000002"/>
    <n v="284.77999899999998"/>
    <n v="287.41000400000001"/>
    <n v="287.41000400000001"/>
    <n v="-3.5899959999999851"/>
    <n v="5090000"/>
    <n v="-0.101382488479262"/>
    <n v="-22"/>
    <n v="-1.2336756013745653E-2"/>
    <n v="217"/>
  </r>
  <r>
    <x v="462"/>
    <d v="1905-07-11T00:00:00"/>
    <x v="10"/>
    <n v="288.70001200000002"/>
    <n v="289.11999500000002"/>
    <n v="283.01998900000001"/>
    <n v="286.80999800000001"/>
    <n v="286.80999800000001"/>
    <n v="-1.8900140000000079"/>
    <n v="5594300"/>
    <n v="-8.9928057553956803E-2"/>
    <n v="-25"/>
    <n v="-6.54663637492335E-3"/>
    <n v="278"/>
  </r>
  <r>
    <x v="463"/>
    <d v="1905-07-11T00:00:00"/>
    <x v="10"/>
    <n v="288"/>
    <n v="295.39001500000001"/>
    <n v="287.16000400000001"/>
    <n v="292.85998499999999"/>
    <n v="292.85998499999999"/>
    <n v="4.8599849999999947"/>
    <n v="5566200"/>
    <n v="-6.1135371179039298E-2"/>
    <n v="-14"/>
    <n v="1.6874947916666647E-2"/>
    <n v="229"/>
  </r>
  <r>
    <x v="464"/>
    <d v="1905-07-11T00:00:00"/>
    <x v="10"/>
    <n v="289.98998999999998"/>
    <n v="291.19000199999999"/>
    <n v="286.30999800000001"/>
    <n v="288.02999899999998"/>
    <n v="288.02999899999998"/>
    <n v="-1.9599910000000023"/>
    <n v="4062400"/>
    <n v="-8.5020242914979699E-2"/>
    <n v="-21"/>
    <n v="-6.7588229510956652E-3"/>
    <n v="247"/>
  </r>
  <r>
    <x v="465"/>
    <d v="1905-07-11T00:00:00"/>
    <x v="10"/>
    <n v="288.19000199999999"/>
    <n v="290.55999800000001"/>
    <n v="285.83999599999999"/>
    <n v="288.58999599999999"/>
    <n v="288.58999599999999"/>
    <n v="0.39999399999999241"/>
    <n v="3438300"/>
    <n v="-6.4846416382252497E-2"/>
    <n v="-19"/>
    <n v="1.3879523828865944E-3"/>
    <n v="293"/>
  </r>
  <r>
    <x v="466"/>
    <d v="1905-07-11T00:00:00"/>
    <x v="10"/>
    <n v="290.70001200000002"/>
    <n v="298.19000199999999"/>
    <n v="288.26998900000001"/>
    <n v="289.57000699999998"/>
    <n v="289.57000699999998"/>
    <n v="-1.1300050000000397"/>
    <n v="5928500"/>
    <n v="-0.12980769230769201"/>
    <n v="-54"/>
    <n v="-3.8871859420495643E-3"/>
    <n v="416"/>
  </r>
  <r>
    <x v="467"/>
    <d v="1905-07-11T00:00:00"/>
    <x v="10"/>
    <n v="288.73001099999999"/>
    <n v="293.98998999999998"/>
    <n v="287.51001000000002"/>
    <n v="291.57000699999998"/>
    <n v="291.57000699999998"/>
    <n v="2.8399959999999851"/>
    <n v="4509000"/>
    <n v="-0.123711340206185"/>
    <n v="-36"/>
    <n v="9.8361649007798688E-3"/>
    <n v="291"/>
  </r>
  <r>
    <x v="468"/>
    <d v="1905-07-11T00:00:00"/>
    <x v="10"/>
    <n v="289.16000400000001"/>
    <n v="296.35998499999999"/>
    <n v="288.5"/>
    <n v="294.17999300000002"/>
    <n v="294.17999300000002"/>
    <n v="5.0199890000000096"/>
    <n v="3944300"/>
    <n v="-0.10126582278481"/>
    <n v="-24"/>
    <n v="1.7360592511265871E-2"/>
    <n v="237"/>
  </r>
  <r>
    <x v="469"/>
    <d v="1905-07-11T00:00:00"/>
    <x v="10"/>
    <n v="295.32000699999998"/>
    <n v="295.35000600000001"/>
    <n v="288.70001200000002"/>
    <n v="292.01001000000002"/>
    <n v="292.01001000000002"/>
    <n v="-3.309996999999953"/>
    <n v="5772800"/>
    <n v="-5.0108932461873597E-2"/>
    <n v="-23"/>
    <n v="-1.1208170532110116E-2"/>
    <n v="459"/>
  </r>
  <r>
    <x v="470"/>
    <d v="1905-07-11T00:00:00"/>
    <x v="10"/>
    <n v="291.02999899999998"/>
    <n v="293.41000400000001"/>
    <n v="281.14001500000001"/>
    <n v="283.10998499999999"/>
    <n v="283.10998499999999"/>
    <n v="-7.9200139999999806"/>
    <n v="9158900"/>
    <n v="-0.12012987012987"/>
    <n v="-74"/>
    <n v="-2.7213737508895025E-2"/>
    <n v="616"/>
  </r>
  <r>
    <x v="471"/>
    <d v="1905-07-11T00:00:00"/>
    <x v="10"/>
    <n v="283.25"/>
    <n v="290.63000499999998"/>
    <n v="283.22000100000002"/>
    <n v="289.61999500000002"/>
    <n v="289.61999500000002"/>
    <n v="6.3699950000000172"/>
    <n v="6529000"/>
    <n v="-0.13938053097345099"/>
    <n v="-63"/>
    <n v="2.2488949691085672E-2"/>
    <n v="452"/>
  </r>
  <r>
    <x v="472"/>
    <d v="1905-07-11T00:00:00"/>
    <x v="10"/>
    <n v="290.58999599999999"/>
    <n v="295.82000699999998"/>
    <n v="287.57000699999998"/>
    <n v="295.02999899999998"/>
    <n v="295.02999899999998"/>
    <n v="4.4400029999999902"/>
    <n v="6333800"/>
    <n v="-3.56164383561643E-2"/>
    <n v="-13"/>
    <n v="1.5279269971840292E-2"/>
    <n v="365"/>
  </r>
  <r>
    <x v="473"/>
    <d v="1905-07-11T00:00:00"/>
    <x v="10"/>
    <n v="296"/>
    <n v="304.98998999999998"/>
    <n v="293.27999899999998"/>
    <n v="302.57000699999998"/>
    <n v="302.57000699999998"/>
    <n v="6.5700069999999755"/>
    <n v="8616600"/>
    <n v="-1.9762845849802299E-2"/>
    <n v="-10"/>
    <n v="2.2195969594594512E-2"/>
    <n v="506"/>
  </r>
  <r>
    <x v="474"/>
    <d v="1905-07-11T00:00:00"/>
    <x v="10"/>
    <n v="304.01001000000002"/>
    <n v="305.67001299999998"/>
    <n v="298.51998900000001"/>
    <n v="302.60000600000001"/>
    <n v="302.60000600000001"/>
    <n v="-1.4100040000000149"/>
    <n v="5918000"/>
    <n v="-7.85714285714285E-2"/>
    <n v="-33"/>
    <n v="-4.6380183336726805E-3"/>
    <n v="420"/>
  </r>
  <r>
    <x v="475"/>
    <d v="1905-07-11T00:00:00"/>
    <x v="10"/>
    <n v="301.01001000000002"/>
    <n v="308.25"/>
    <n v="301"/>
    <n v="305.16000400000001"/>
    <n v="305.16000400000001"/>
    <n v="4.1499939999999924"/>
    <n v="5111800"/>
    <n v="-6.7357512953367796E-2"/>
    <n v="-26"/>
    <n v="1.3786896987246345E-2"/>
    <n v="386"/>
  </r>
  <r>
    <x v="476"/>
    <d v="1905-07-11T00:00:00"/>
    <x v="10"/>
    <n v="306"/>
    <n v="312.69000199999999"/>
    <n v="304.26001000000002"/>
    <n v="311.69000199999999"/>
    <n v="311.69000199999999"/>
    <n v="5.6900019999999927"/>
    <n v="7488400"/>
    <n v="-9.8360655737704902E-2"/>
    <n v="-42"/>
    <n v="1.8594777777777755E-2"/>
    <n v="427"/>
  </r>
  <r>
    <x v="477"/>
    <d v="1905-07-11T00:00:00"/>
    <x v="10"/>
    <n v="309.10000600000001"/>
    <n v="311.39999399999999"/>
    <n v="304.41000400000001"/>
    <n v="310.48001099999999"/>
    <n v="310.48001099999999"/>
    <n v="1.3800049999999828"/>
    <n v="5970100"/>
    <n v="-2.15827338129496E-2"/>
    <n v="-6"/>
    <n v="4.4645906606678703E-3"/>
    <n v="278"/>
  </r>
  <r>
    <x v="478"/>
    <d v="1905-07-11T00:00:00"/>
    <x v="10"/>
    <n v="308.82998700000002"/>
    <n v="315.73001099999999"/>
    <n v="305.25"/>
    <n v="315.54998799999998"/>
    <n v="315.54998799999998"/>
    <n v="6.7200009999999679"/>
    <n v="7873900"/>
    <n v="-0.10062893081761"/>
    <n v="-48"/>
    <n v="2.1759548239724428E-2"/>
    <n v="477"/>
  </r>
  <r>
    <x v="479"/>
    <d v="1905-07-11T00:00:00"/>
    <x v="10"/>
    <n v="315"/>
    <n v="316.5"/>
    <n v="311.69000199999999"/>
    <n v="312.48998999999998"/>
    <n v="312.48998999999998"/>
    <n v="-2.5100100000000225"/>
    <n v="5321000"/>
    <n v="-5.6022408963585402E-2"/>
    <n v="-20"/>
    <n v="-7.9682857142857853E-3"/>
    <n v="357"/>
  </r>
  <r>
    <x v="480"/>
    <d v="1905-07-11T00:00:00"/>
    <x v="10"/>
    <n v="313.92999300000002"/>
    <n v="316.82000699999998"/>
    <n v="312.75"/>
    <n v="315.92999300000002"/>
    <n v="315.92999300000002"/>
    <n v="2"/>
    <n v="4096900"/>
    <n v="-0.14705882352941099"/>
    <n v="-45"/>
    <n v="6.3708471461661198E-3"/>
    <n v="306"/>
  </r>
  <r>
    <x v="481"/>
    <d v="1905-07-11T00:00:00"/>
    <x v="10"/>
    <n v="315.77999899999998"/>
    <n v="316.61999500000002"/>
    <n v="313.33999599999999"/>
    <n v="314.66000400000001"/>
    <n v="314.66000400000001"/>
    <n v="-1.1199949999999603"/>
    <n v="2411700"/>
    <n v="-0.10404624277456601"/>
    <n v="-18"/>
    <n v="-3.5467572472820245E-3"/>
    <n v="173"/>
  </r>
  <r>
    <x v="482"/>
    <d v="1905-07-11T00:00:00"/>
    <x v="11"/>
    <n v="314.39001500000001"/>
    <n v="314.39001500000001"/>
    <n v="303.75"/>
    <n v="309.98998999999998"/>
    <n v="309.98998999999998"/>
    <n v="-4.4000250000000278"/>
    <n v="6218800"/>
    <n v="-0.1"/>
    <n v="-33"/>
    <n v="-1.3995434937715906E-2"/>
    <n v="330"/>
  </r>
  <r>
    <x v="483"/>
    <d v="1905-07-11T00:00:00"/>
    <x v="11"/>
    <n v="302.22000100000002"/>
    <n v="307.35998499999999"/>
    <n v="301.88000499999998"/>
    <n v="306.16000400000001"/>
    <n v="306.16000400000001"/>
    <n v="3.9400029999999902"/>
    <n v="4992800"/>
    <n v="-0.103305785123966"/>
    <n v="-25"/>
    <n v="1.3036870448557737E-2"/>
    <n v="242"/>
  </r>
  <r>
    <x v="484"/>
    <d v="1905-07-11T00:00:00"/>
    <x v="11"/>
    <n v="308.42999300000002"/>
    <n v="308.42999300000002"/>
    <n v="303.26998900000001"/>
    <n v="304.32000699999998"/>
    <n v="304.32000699999998"/>
    <n v="-4.109986000000049"/>
    <n v="3512100"/>
    <n v="-7.0707070707070704E-2"/>
    <n v="-14"/>
    <n v="-1.3325506900361822E-2"/>
    <n v="198"/>
  </r>
  <r>
    <x v="485"/>
    <d v="1905-07-11T00:00:00"/>
    <x v="11"/>
    <n v="305.26998900000001"/>
    <n v="306.48001099999999"/>
    <n v="298.80999800000001"/>
    <n v="302.85998499999999"/>
    <n v="302.85998499999999"/>
    <n v="-2.4100040000000149"/>
    <n v="4615500"/>
    <n v="-0.125523012552301"/>
    <n v="-30"/>
    <n v="-7.894664024769283E-3"/>
    <n v="239"/>
  </r>
  <r>
    <x v="486"/>
    <d v="1905-07-11T00:00:00"/>
    <x v="11"/>
    <n v="304.70001200000002"/>
    <n v="307.85000600000001"/>
    <n v="302.60000600000001"/>
    <n v="307.35000600000001"/>
    <n v="307.35000600000001"/>
    <n v="2.6499939999999924"/>
    <n v="4457800"/>
    <n v="-8.7121212121212099E-2"/>
    <n v="-23"/>
    <n v="8.6970590601748721E-3"/>
    <n v="264"/>
  </r>
  <r>
    <x v="487"/>
    <d v="1905-07-11T00:00:00"/>
    <x v="11"/>
    <n v="307.35000600000001"/>
    <n v="311.48998999999998"/>
    <n v="302.44000199999999"/>
    <n v="302.5"/>
    <n v="302.5"/>
    <n v="-4.8500060000000076"/>
    <n v="5748400"/>
    <n v="-4.5901639344262203E-2"/>
    <n v="-14"/>
    <n v="-1.5780074525197852E-2"/>
    <n v="305"/>
  </r>
  <r>
    <x v="488"/>
    <d v="1905-07-11T00:00:00"/>
    <x v="11"/>
    <n v="296.11999500000002"/>
    <n v="298.94000199999999"/>
    <n v="292.01998900000001"/>
    <n v="293.11999500000002"/>
    <n v="293.11999500000002"/>
    <n v="-3"/>
    <n v="10476100"/>
    <n v="-0.16718266253869901"/>
    <n v="-108"/>
    <n v="-1.0131028132700056E-2"/>
    <n v="646"/>
  </r>
  <r>
    <x v="489"/>
    <d v="1905-07-11T00:00:00"/>
    <x v="11"/>
    <n v="294.48998999999998"/>
    <n v="299.42999300000002"/>
    <n v="294.20001200000002"/>
    <n v="298.92999300000002"/>
    <n v="298.92999300000002"/>
    <n v="4.440003000000047"/>
    <n v="5589800"/>
    <n v="-0.135523613963039"/>
    <n v="-66"/>
    <n v="1.5076923327682708E-2"/>
    <n v="487"/>
  </r>
  <r>
    <x v="490"/>
    <d v="1905-07-11T00:00:00"/>
    <x v="11"/>
    <n v="295.67001299999998"/>
    <n v="299.17001299999998"/>
    <n v="295.05999800000001"/>
    <n v="298.44000199999999"/>
    <n v="298.44000199999999"/>
    <n v="2.7699890000000096"/>
    <n v="4766600"/>
    <n v="-9.9071207430340494E-2"/>
    <n v="-32"/>
    <n v="9.3685151628819727E-3"/>
    <n v="323"/>
  </r>
  <r>
    <x v="491"/>
    <d v="1905-07-11T00:00:00"/>
    <x v="11"/>
    <n v="298.5"/>
    <n v="301.79998799999998"/>
    <n v="297.25"/>
    <n v="298.5"/>
    <n v="298.5"/>
    <n v="0"/>
    <n v="3879700"/>
    <n v="-5.9288537549407098E-2"/>
    <n v="-15"/>
    <n v="0"/>
    <n v="253"/>
  </r>
  <r>
    <x v="492"/>
    <d v="1905-07-11T00:00:00"/>
    <x v="11"/>
    <n v="300.85000600000001"/>
    <n v="305.709991"/>
    <n v="298.63000499999998"/>
    <n v="304.209991"/>
    <n v="304.209991"/>
    <n v="3.3599849999999947"/>
    <n v="4658900"/>
    <n v="-2.9702970297029702E-2"/>
    <n v="-9"/>
    <n v="1.1168306242280728E-2"/>
    <n v="303"/>
  </r>
  <r>
    <x v="493"/>
    <d v="1905-07-11T00:00:00"/>
    <x v="11"/>
    <n v="307.35998499999999"/>
    <n v="316.79998799999998"/>
    <n v="306.60000600000001"/>
    <n v="315.48001099999999"/>
    <n v="315.48001099999999"/>
    <n v="8.1200259999999957"/>
    <n v="10427100"/>
    <n v="-1.6697588126159499E-2"/>
    <n v="-9"/>
    <n v="2.6418617895234461E-2"/>
    <n v="539"/>
  </r>
  <r>
    <x v="494"/>
    <d v="1905-07-11T00:00:00"/>
    <x v="11"/>
    <n v="316.26001000000002"/>
    <n v="325.35998499999999"/>
    <n v="315.60000600000001"/>
    <n v="320.79998799999998"/>
    <n v="320.79998799999998"/>
    <n v="4.5399779999999623"/>
    <n v="11207400"/>
    <n v="-5.2631578947368004E-3"/>
    <n v="-3"/>
    <n v="1.4355207286561339E-2"/>
    <n v="570"/>
  </r>
  <r>
    <x v="495"/>
    <d v="1905-07-11T00:00:00"/>
    <x v="11"/>
    <n v="324.5"/>
    <n v="332.82998700000002"/>
    <n v="324.17999300000002"/>
    <n v="332.22000100000002"/>
    <n v="332.22000100000002"/>
    <n v="7.7200010000000248"/>
    <n v="9822300"/>
    <n v="-1.0714285714285701E-2"/>
    <n v="-6"/>
    <n v="2.3790449922958475E-2"/>
    <n v="560"/>
  </r>
  <r>
    <x v="496"/>
    <d v="1905-07-11T00:00:00"/>
    <x v="11"/>
    <n v="335"/>
    <n v="338"/>
    <n v="330.60000600000001"/>
    <n v="336.89999399999999"/>
    <n v="336.89999399999999"/>
    <n v="1.8999939999999924"/>
    <n v="9914900"/>
    <n v="2.2075055187637002E-3"/>
    <n v="1"/>
    <n v="5.6716238805969927E-3"/>
    <n v="453"/>
  </r>
  <r>
    <x v="497"/>
    <d v="1905-07-11T00:00:00"/>
    <x v="11"/>
    <n v="337.76001000000002"/>
    <n v="337.95001200000002"/>
    <n v="331.01998900000001"/>
    <n v="333.10000600000001"/>
    <n v="333.10000600000001"/>
    <n v="-4.6600040000000149"/>
    <n v="5765300"/>
    <n v="-0.13496932515337401"/>
    <n v="-44"/>
    <n v="-1.3796790212079916E-2"/>
    <n v="326"/>
  </r>
  <r>
    <x v="498"/>
    <d v="1905-07-11T00:00:00"/>
    <x v="11"/>
    <n v="334.01001000000002"/>
    <n v="335.70001200000002"/>
    <n v="331.60000600000001"/>
    <n v="333.20001200000002"/>
    <n v="333.20001200000002"/>
    <n v="-0.80999800000000732"/>
    <n v="2019300"/>
    <n v="-4.4642857142857102E-2"/>
    <n v="-10"/>
    <n v="-2.4250710330507978E-3"/>
    <n v="224"/>
  </r>
  <r>
    <x v="499"/>
    <d v="1905-07-11T00:00:00"/>
    <x v="11"/>
    <n v="334.60000600000001"/>
    <n v="336.459991"/>
    <n v="332.01001000000002"/>
    <n v="332.63000499999998"/>
    <n v="332.63000499999998"/>
    <n v="-1.9700010000000248"/>
    <n v="3589900"/>
    <n v="-7.2727272727272696E-2"/>
    <n v="-20"/>
    <n v="-5.8876299004012112E-3"/>
    <n v="275"/>
  </r>
  <r>
    <x v="500"/>
    <d v="1905-07-11T00:00:00"/>
    <x v="11"/>
    <n v="332.959991"/>
    <n v="333.82000699999998"/>
    <n v="326.01001000000002"/>
    <n v="329.08999599999999"/>
    <n v="329.08999599999999"/>
    <n v="-3.8699950000000172"/>
    <n v="5036100"/>
    <n v="-3.125E-2"/>
    <n v="-9"/>
    <n v="-1.1623003077267675E-2"/>
    <n v="288"/>
  </r>
  <r>
    <x v="501"/>
    <d v="1905-07-11T00:00:00"/>
    <x v="11"/>
    <n v="329.07998700000002"/>
    <n v="329.19000199999999"/>
    <n v="322.85998499999999"/>
    <n v="323.30999800000001"/>
    <n v="323.30999800000001"/>
    <n v="-5.7699890000000096"/>
    <n v="4311500"/>
    <n v="-6.3063063063063002E-2"/>
    <n v="-21"/>
    <n v="-1.7533697666032817E-2"/>
    <n v="333"/>
  </r>
  <r>
    <x v="502"/>
    <d v="1905-07-11T00:00:00"/>
    <x v="11"/>
    <n v="322"/>
    <n v="324.92001299999998"/>
    <n v="321.08999599999999"/>
    <n v="323.57000699999998"/>
    <n v="323.57000699999998"/>
    <n v="1.5700069999999755"/>
    <n v="3713300"/>
    <n v="-6.95970695970696E-2"/>
    <n v="-19"/>
    <n v="4.8757981366458871E-3"/>
    <n v="273"/>
  </r>
  <r>
    <x v="503"/>
    <d v="1905-07-12T00:00:00"/>
    <x v="0"/>
    <n v="326.10000600000001"/>
    <n v="329.98001099999999"/>
    <n v="324.77999899999998"/>
    <n v="329.80999800000001"/>
    <n v="329.80999800000001"/>
    <n v="3.7099919999999997"/>
    <n v="4485800"/>
    <n v="-3.8348082595870199E-2"/>
    <n v="-13"/>
    <n v="1.1376853516525233E-2"/>
    <n v="339"/>
  </r>
  <r>
    <x v="504"/>
    <d v="1905-07-12T00:00:00"/>
    <x v="0"/>
    <n v="326.77999899999998"/>
    <n v="329.85998499999999"/>
    <n v="325.52999899999998"/>
    <n v="325.89999399999999"/>
    <n v="325.89999399999999"/>
    <n v="-0.88000499999998283"/>
    <n v="3806900"/>
    <n v="-0.15533980582524201"/>
    <n v="-48"/>
    <n v="-2.6929585736365186E-3"/>
    <n v="309"/>
  </r>
  <r>
    <x v="505"/>
    <d v="1905-07-12T00:00:00"/>
    <x v="0"/>
    <n v="323.11999500000002"/>
    <n v="336.35998499999999"/>
    <n v="321.20001200000002"/>
    <n v="335.82998700000002"/>
    <n v="335.82998700000002"/>
    <n v="12.709992"/>
    <n v="5663100"/>
    <n v="-2.94659300184162E-2"/>
    <n v="-16"/>
    <n v="3.9335207343018187E-2"/>
    <n v="543"/>
  </r>
  <r>
    <x v="506"/>
    <d v="1905-07-12T00:00:00"/>
    <x v="0"/>
    <n v="336.47000100000002"/>
    <n v="336.70001200000002"/>
    <n v="330.29998799999998"/>
    <n v="330.75"/>
    <n v="330.75"/>
    <n v="-5.7200010000000248"/>
    <n v="4703200"/>
    <n v="-4.9763033175355402E-2"/>
    <n v="-21"/>
    <n v="-1.700003264184026E-2"/>
    <n v="422"/>
  </r>
  <r>
    <x v="507"/>
    <d v="1905-07-12T00:00:00"/>
    <x v="0"/>
    <n v="331.48998999999998"/>
    <n v="342.70001200000002"/>
    <n v="331.04998799999998"/>
    <n v="339.26001000000002"/>
    <n v="339.26001000000002"/>
    <n v="7.770020000000045"/>
    <n v="7104500"/>
    <n v="-7.3852295409181604E-2"/>
    <n v="-37"/>
    <n v="2.3439682145454967E-2"/>
    <n v="501"/>
  </r>
  <r>
    <x v="508"/>
    <d v="1905-07-12T00:00:00"/>
    <x v="0"/>
    <n v="342"/>
    <n v="343.42001299999998"/>
    <n v="334.60998499999999"/>
    <n v="335.66000400000001"/>
    <n v="335.66000400000001"/>
    <n v="-6.3399959999999851"/>
    <n v="4709300"/>
    <n v="-7.9575596816976096E-2"/>
    <n v="-30"/>
    <n v="-1.8537999999999957E-2"/>
    <n v="377"/>
  </r>
  <r>
    <x v="509"/>
    <d v="1905-07-12T00:00:00"/>
    <x v="0"/>
    <n v="337.13000499999998"/>
    <n v="338.5"/>
    <n v="327.26998900000001"/>
    <n v="329.04998799999998"/>
    <n v="329.04998799999998"/>
    <n v="-8.080016999999998"/>
    <n v="4718300"/>
    <n v="-6.8027210884353706E-2"/>
    <n v="-20"/>
    <n v="-2.3967065761470854E-2"/>
    <n v="294"/>
  </r>
  <r>
    <x v="510"/>
    <d v="1905-07-12T00:00:00"/>
    <x v="0"/>
    <n v="331.79998799999998"/>
    <n v="340.85000600000001"/>
    <n v="331.51001000000002"/>
    <n v="338.92001299999998"/>
    <n v="338.92001299999998"/>
    <n v="7.1200249999999983"/>
    <n v="6290000"/>
    <n v="-4.0404040404040401E-2"/>
    <n v="-16"/>
    <n v="2.1458786188985633E-2"/>
    <n v="396"/>
  </r>
  <r>
    <x v="511"/>
    <d v="1905-07-12T00:00:00"/>
    <x v="0"/>
    <n v="344.39999399999999"/>
    <n v="345.38000499999998"/>
    <n v="335.51998900000001"/>
    <n v="338.69000199999999"/>
    <n v="338.69000199999999"/>
    <n v="-5.7099919999999997"/>
    <n v="7199400"/>
    <n v="-2.1377672209026099E-2"/>
    <n v="-9"/>
    <n v="-1.6579535712767754E-2"/>
    <n v="421"/>
  </r>
  <r>
    <x v="512"/>
    <d v="1905-07-12T00:00:00"/>
    <x v="0"/>
    <n v="338.67999300000002"/>
    <n v="343.17001299999998"/>
    <n v="336.60000600000001"/>
    <n v="339.07000699999998"/>
    <n v="339.07000699999998"/>
    <n v="0.39001399999995101"/>
    <n v="5158000"/>
    <n v="-0.10062893081761"/>
    <n v="-32"/>
    <n v="1.1515708281001145E-3"/>
    <n v="318"/>
  </r>
  <r>
    <x v="513"/>
    <d v="1905-07-12T00:00:00"/>
    <x v="0"/>
    <n v="343.5"/>
    <n v="343.55999800000001"/>
    <n v="335.85000600000001"/>
    <n v="338.61999500000002"/>
    <n v="338.61999500000002"/>
    <n v="-4.8800049999999828"/>
    <n v="5016000"/>
    <n v="-9.2105263157894704E-2"/>
    <n v="-35"/>
    <n v="-1.4206710334788887E-2"/>
    <n v="380"/>
  </r>
  <r>
    <x v="514"/>
    <d v="1905-07-12T00:00:00"/>
    <x v="0"/>
    <n v="341"/>
    <n v="341.57000699999998"/>
    <n v="337.38000499999998"/>
    <n v="339.67001299999998"/>
    <n v="339.67001299999998"/>
    <n v="-1.3299870000000169"/>
    <n v="6066500"/>
    <n v="-4.4843049327354202E-2"/>
    <n v="-20"/>
    <n v="-3.9002551319648588E-3"/>
    <n v="446"/>
  </r>
  <r>
    <x v="515"/>
    <d v="1905-07-12T00:00:00"/>
    <x v="0"/>
    <n v="340"/>
    <n v="341"/>
    <n v="332.58999599999999"/>
    <n v="338.10998499999999"/>
    <n v="338.10998499999999"/>
    <n v="-1.8900150000000053"/>
    <n v="14350300"/>
    <n v="-6.6145092460881905E-2"/>
    <n v="-93"/>
    <n v="-5.5588676470588391E-3"/>
    <n v="1406"/>
  </r>
  <r>
    <x v="516"/>
    <d v="1905-07-12T00:00:00"/>
    <x v="0"/>
    <n v="332.54998799999998"/>
    <n v="336.29998799999998"/>
    <n v="323.60000600000001"/>
    <n v="326"/>
    <n v="326"/>
    <n v="-6.5499879999999848"/>
    <n v="21730000"/>
    <n v="-0.108993902439024"/>
    <n v="-143"/>
    <n v="-1.9696250898676878E-2"/>
    <n v="1312"/>
  </r>
  <r>
    <x v="517"/>
    <d v="1905-07-12T00:00:00"/>
    <x v="0"/>
    <n v="326.040009"/>
    <n v="349.88000499999998"/>
    <n v="325.01001000000002"/>
    <n v="349.60000600000001"/>
    <n v="349.60000600000001"/>
    <n v="23.55999700000001"/>
    <n v="18200300"/>
    <n v="-2.2240527182866499E-2"/>
    <n v="-27"/>
    <n v="7.2261061065054782E-2"/>
    <n v="1214"/>
  </r>
  <r>
    <x v="518"/>
    <d v="1905-07-12T00:00:00"/>
    <x v="0"/>
    <n v="348.459991"/>
    <n v="359.85000600000001"/>
    <n v="345.88000499999998"/>
    <n v="353.16000400000001"/>
    <n v="353.16000400000001"/>
    <n v="4.7000130000000127"/>
    <n v="17939700"/>
    <n v="-6.2726176115802099E-2"/>
    <n v="-52"/>
    <n v="1.3487955924328807E-2"/>
    <n v="829"/>
  </r>
  <r>
    <x v="519"/>
    <d v="1905-07-12T00:00:00"/>
    <x v="0"/>
    <n v="345.95001200000002"/>
    <n v="351.89999399999999"/>
    <n v="341.01998900000001"/>
    <n v="342.88000499999998"/>
    <n v="342.88000499999998"/>
    <n v="-3.0700070000000323"/>
    <n v="7709500"/>
    <n v="-0.125"/>
    <n v="-54"/>
    <n v="-8.8741346827877331E-3"/>
    <n v="432"/>
  </r>
  <r>
    <x v="520"/>
    <d v="1905-07-12T00:00:00"/>
    <x v="0"/>
    <n v="345.88000499999998"/>
    <n v="352.39999399999999"/>
    <n v="342.77999899999998"/>
    <n v="348.51998900000001"/>
    <n v="348.51998900000001"/>
    <n v="2.6399840000000268"/>
    <n v="6821600"/>
    <n v="-9.69162995594713E-2"/>
    <n v="-44"/>
    <n v="7.6326586152328374E-3"/>
    <n v="454"/>
  </r>
  <r>
    <x v="521"/>
    <d v="1905-07-12T00:00:00"/>
    <x v="0"/>
    <n v="349"/>
    <n v="349.39999399999999"/>
    <n v="338.54998799999998"/>
    <n v="343.16000400000001"/>
    <n v="343.16000400000001"/>
    <n v="-5.8399959999999851"/>
    <n v="7643500"/>
    <n v="-0.14285714285714199"/>
    <n v="-55"/>
    <n v="-1.6733512893982765E-2"/>
    <n v="385"/>
  </r>
  <r>
    <x v="522"/>
    <d v="1905-07-12T00:00:00"/>
    <x v="0"/>
    <n v="341.10000600000001"/>
    <n v="348.20001200000002"/>
    <n v="339.25"/>
    <n v="347.73998999999998"/>
    <n v="347.73998999999998"/>
    <n v="6.6399839999999699"/>
    <n v="5328100"/>
    <n v="-0.18879056047197601"/>
    <n v="-64"/>
    <n v="1.9466384881857698E-2"/>
    <n v="339"/>
  </r>
  <r>
    <x v="523"/>
    <d v="1905-07-12T00:00:00"/>
    <x v="0"/>
    <n v="347.39001500000001"/>
    <n v="347.39001500000001"/>
    <n v="340.98001099999999"/>
    <n v="345.08999599999999"/>
    <n v="345.08999599999999"/>
    <n v="-2.3000190000000202"/>
    <n v="5230000"/>
    <n v="-0.16613418530351401"/>
    <n v="-52"/>
    <n v="-6.6208552367287244E-3"/>
    <n v="313"/>
  </r>
  <r>
    <x v="524"/>
    <d v="1905-07-12T00:00:00"/>
    <x v="1"/>
    <n v="347.23998999999998"/>
    <n v="359.63000499999998"/>
    <n v="346.27999899999998"/>
    <n v="358"/>
    <n v="358"/>
    <n v="10.760010000000023"/>
    <n v="6670600"/>
    <n v="-2.3809523809523001E-3"/>
    <n v="-1"/>
    <n v="3.0987243145583616E-2"/>
    <n v="420"/>
  </r>
  <r>
    <x v="525"/>
    <d v="1905-07-12T00:00:00"/>
    <x v="1"/>
    <n v="361"/>
    <n v="369.57000699999998"/>
    <n v="356.10000600000001"/>
    <n v="369.01001000000002"/>
    <n v="369.01001000000002"/>
    <n v="8.0100100000000225"/>
    <n v="7161500"/>
    <n v="-6.4056939501779306E-2"/>
    <n v="-36"/>
    <n v="2.2188393351800617E-2"/>
    <n v="562"/>
  </r>
  <r>
    <x v="526"/>
    <d v="1905-07-12T00:00:00"/>
    <x v="1"/>
    <n v="375.13000499999998"/>
    <n v="375.25"/>
    <n v="362.29998799999998"/>
    <n v="369.67001299999998"/>
    <n v="369.67001299999998"/>
    <n v="-5.4599919999999997"/>
    <n v="6437000"/>
    <n v="-7.3170731707316999E-2"/>
    <n v="-36"/>
    <n v="-1.4554932762576536E-2"/>
    <n v="492"/>
  </r>
  <r>
    <x v="527"/>
    <d v="1905-07-12T00:00:00"/>
    <x v="1"/>
    <n v="369.60000600000001"/>
    <n v="371.54998799999998"/>
    <n v="362.51001000000002"/>
    <n v="366.95001200000002"/>
    <n v="366.95001200000002"/>
    <n v="-2.6499939999999924"/>
    <n v="3920400"/>
    <n v="-0.12861736334405099"/>
    <n v="-40"/>
    <n v="-7.1698970697527328E-3"/>
    <n v="311"/>
  </r>
  <r>
    <x v="528"/>
    <d v="1905-07-12T00:00:00"/>
    <x v="1"/>
    <n v="365.040009"/>
    <n v="371.79998799999998"/>
    <n v="363.57000699999998"/>
    <n v="366.76998900000001"/>
    <n v="366.76998900000001"/>
    <n v="1.7299800000000118"/>
    <n v="4385200"/>
    <n v="-6.5155807365438995E-2"/>
    <n v="-23"/>
    <n v="4.7391517569242989E-3"/>
    <n v="353"/>
  </r>
  <r>
    <x v="529"/>
    <d v="1905-07-12T00:00:00"/>
    <x v="1"/>
    <n v="365"/>
    <n v="374.79998799999998"/>
    <n v="362.51998900000001"/>
    <n v="371.07000699999998"/>
    <n v="371.07000699999998"/>
    <n v="6.0700069999999755"/>
    <n v="5294100"/>
    <n v="-7.4766355140186896E-2"/>
    <n v="-32"/>
    <n v="1.6630156164383493E-2"/>
    <n v="428"/>
  </r>
  <r>
    <x v="530"/>
    <d v="1905-07-12T00:00:00"/>
    <x v="1"/>
    <n v="373.75"/>
    <n v="378.10998499999999"/>
    <n v="369.72000100000002"/>
    <n v="373.69000199999999"/>
    <n v="373.69000199999999"/>
    <n v="-5.9998000000007323E-2"/>
    <n v="4772900"/>
    <n v="-3.0927835051546299E-2"/>
    <n v="-12"/>
    <n v="-1.6052976588630722E-4"/>
    <n v="388"/>
  </r>
  <r>
    <x v="531"/>
    <d v="1905-07-12T00:00:00"/>
    <x v="1"/>
    <n v="377.17999300000002"/>
    <n v="380.61999500000002"/>
    <n v="375.88000499999998"/>
    <n v="380.01001000000002"/>
    <n v="380.01001000000002"/>
    <n v="2.830016999999998"/>
    <n v="4624800"/>
    <n v="-6.5155807365438995E-2"/>
    <n v="-23"/>
    <n v="7.5030941527166259E-3"/>
    <n v="353"/>
  </r>
  <r>
    <x v="532"/>
    <d v="1905-07-12T00:00:00"/>
    <x v="1"/>
    <n v="376.959991"/>
    <n v="385.36999500000002"/>
    <n v="376.51001000000002"/>
    <n v="381.39999399999999"/>
    <n v="381.39999399999999"/>
    <n v="4.4400029999999902"/>
    <n v="4485400"/>
    <n v="-9.7852028639618102E-2"/>
    <n v="-41"/>
    <n v="1.1778446270177224E-2"/>
    <n v="419"/>
  </r>
  <r>
    <x v="533"/>
    <d v="1905-07-12T00:00:00"/>
    <x v="1"/>
    <n v="381.47000100000002"/>
    <n v="385.14999399999999"/>
    <n v="379.42999300000002"/>
    <n v="380.39999399999999"/>
    <n v="380.39999399999999"/>
    <n v="-1.0700070000000323"/>
    <n v="3736300"/>
    <n v="-9.3425605536332099E-2"/>
    <n v="-27"/>
    <n v="-2.8049571321337855E-3"/>
    <n v="289"/>
  </r>
  <r>
    <x v="534"/>
    <d v="1905-07-12T00:00:00"/>
    <x v="1"/>
    <n v="379.29998799999998"/>
    <n v="389.540009"/>
    <n v="379.19000199999999"/>
    <n v="387.77999899999998"/>
    <n v="387.77999899999998"/>
    <n v="8.4800109999999904"/>
    <n v="5173900"/>
    <n v="-8.6854460093896704E-2"/>
    <n v="-37"/>
    <n v="2.235700308010553E-2"/>
    <n v="426"/>
  </r>
  <r>
    <x v="535"/>
    <d v="1905-07-12T00:00:00"/>
    <x v="1"/>
    <n v="388.11999500000002"/>
    <n v="392.95001200000002"/>
    <n v="384.89999399999999"/>
    <n v="386.19000199999999"/>
    <n v="386.19000199999999"/>
    <n v="-1.9299930000000245"/>
    <n v="4896400"/>
    <n v="-5.4347826086956499E-2"/>
    <n v="-20"/>
    <n v="-4.9726708875177236E-3"/>
    <n v="368"/>
  </r>
  <r>
    <x v="536"/>
    <d v="1905-07-12T00:00:00"/>
    <x v="1"/>
    <n v="386.55999800000001"/>
    <n v="389.70001200000002"/>
    <n v="376.67999300000002"/>
    <n v="386"/>
    <n v="386"/>
    <n v="-0.55999800000000732"/>
    <n v="4079400"/>
    <n v="-8.66666666666666E-2"/>
    <n v="-26"/>
    <n v="-1.4486703303428911E-3"/>
    <n v="300"/>
  </r>
  <r>
    <x v="537"/>
    <d v="1905-07-12T00:00:00"/>
    <x v="1"/>
    <n v="385.32998700000002"/>
    <n v="387.32000699999998"/>
    <n v="377.89999399999999"/>
    <n v="380.07000699999998"/>
    <n v="380.07000699999998"/>
    <n v="-5.2599800000000414"/>
    <n v="3930100"/>
    <n v="-0.116838487972508"/>
    <n v="-34"/>
    <n v="-1.365058567320908E-2"/>
    <n v="291"/>
  </r>
  <r>
    <x v="538"/>
    <d v="1905-07-12T00:00:00"/>
    <x v="1"/>
    <n v="364.76001000000002"/>
    <n v="372.82000699999998"/>
    <n v="361"/>
    <n v="368.70001200000002"/>
    <n v="368.70001200000002"/>
    <n v="3.9400019999999927"/>
    <n v="6936400"/>
    <n v="-0.15217391304347799"/>
    <n v="-56"/>
    <n v="1.0801628171904021E-2"/>
    <n v="368"/>
  </r>
  <r>
    <x v="539"/>
    <d v="1905-07-12T00:00:00"/>
    <x v="1"/>
    <n v="372"/>
    <n v="375.64999399999999"/>
    <n v="357.72000100000002"/>
    <n v="360.08999599999999"/>
    <n v="360.08999599999999"/>
    <n v="-11.910004000000015"/>
    <n v="6481200"/>
    <n v="-8.6842105263157901E-2"/>
    <n v="-33"/>
    <n v="-3.2016139784946274E-2"/>
    <n v="380"/>
  </r>
  <r>
    <x v="540"/>
    <d v="1905-07-12T00:00:00"/>
    <x v="1"/>
    <n v="366.30999800000001"/>
    <n v="382"/>
    <n v="365"/>
    <n v="379.23998999999998"/>
    <n v="379.23998999999998"/>
    <n v="12.92999199999997"/>
    <n v="8934100"/>
    <n v="-6.2630480167014599E-2"/>
    <n v="-30"/>
    <n v="3.5297950016641287E-2"/>
    <n v="479"/>
  </r>
  <r>
    <x v="541"/>
    <d v="1905-07-12T00:00:00"/>
    <x v="1"/>
    <n v="371.459991"/>
    <n v="391.55999800000001"/>
    <n v="370.60000600000001"/>
    <n v="371.709991"/>
    <n v="371.709991"/>
    <n v="0.25"/>
    <n v="10967700"/>
    <n v="-0.121333333333333"/>
    <n v="-91"/>
    <n v="6.7301999153927719E-4"/>
    <n v="750"/>
  </r>
  <r>
    <x v="542"/>
    <d v="1905-07-12T00:00:00"/>
    <x v="1"/>
    <n v="364.209991"/>
    <n v="376.76998900000001"/>
    <n v="356.79998799999998"/>
    <n v="369.02999899999998"/>
    <n v="369.02999899999998"/>
    <n v="4.820007999999973"/>
    <n v="11168600"/>
    <n v="-0.12"/>
    <n v="-42"/>
    <n v="1.3234145463077022E-2"/>
    <n v="350"/>
  </r>
  <r>
    <x v="543"/>
    <d v="1905-07-12T00:00:00"/>
    <x v="2"/>
    <n v="373.10998499999999"/>
    <n v="381.35998499999999"/>
    <n v="364.5"/>
    <n v="381.04998799999998"/>
    <n v="381.04998799999998"/>
    <n v="7.9400029999999902"/>
    <n v="6997900"/>
    <n v="-0.10344827586206801"/>
    <n v="-24"/>
    <n v="2.1280596390364601E-2"/>
    <n v="232"/>
  </r>
  <r>
    <x v="544"/>
    <d v="1905-07-12T00:00:00"/>
    <x v="2"/>
    <n v="381.02999899999998"/>
    <n v="393.51998900000001"/>
    <n v="367.39999399999999"/>
    <n v="368.76998900000001"/>
    <n v="368.76998900000001"/>
    <n v="-12.260009999999966"/>
    <n v="8364600"/>
    <n v="-9.7799511002444994E-2"/>
    <n v="-40"/>
    <n v="-3.2175970480476435E-2"/>
    <n v="409"/>
  </r>
  <r>
    <x v="545"/>
    <d v="1905-07-12T00:00:00"/>
    <x v="2"/>
    <n v="377.76998900000001"/>
    <n v="384.01001000000002"/>
    <n v="370.51001000000002"/>
    <n v="383.790009"/>
    <n v="383.790009"/>
    <n v="6.0200199999999882"/>
    <n v="5487300"/>
    <n v="-0.18960244648318"/>
    <n v="-62"/>
    <n v="1.5935675610271909E-2"/>
    <n v="327"/>
  </r>
  <r>
    <x v="546"/>
    <d v="1905-07-12T00:00:00"/>
    <x v="2"/>
    <n v="381"/>
    <n v="391.39999399999999"/>
    <n v="368.64001500000001"/>
    <n v="372.77999899999998"/>
    <n v="372.77999899999998"/>
    <n v="-8.2200010000000248"/>
    <n v="8747000"/>
    <n v="-0.11504424778760999"/>
    <n v="-52"/>
    <n v="-2.1574805774278279E-2"/>
    <n v="452"/>
  </r>
  <r>
    <x v="547"/>
    <d v="1905-07-12T00:00:00"/>
    <x v="2"/>
    <n v="367.70001200000002"/>
    <n v="371.30999800000001"/>
    <n v="356.85000600000001"/>
    <n v="368.97000100000002"/>
    <n v="368.97000100000002"/>
    <n v="1.2699890000000096"/>
    <n v="8147200"/>
    <n v="-0.157480314960629"/>
    <n v="-60"/>
    <n v="3.4538726096098402E-3"/>
    <n v="381"/>
  </r>
  <r>
    <x v="548"/>
    <d v="1905-07-12T00:00:00"/>
    <x v="2"/>
    <n v="343.85998499999999"/>
    <n v="357.47000100000002"/>
    <n v="341.72000100000002"/>
    <n v="346.48998999999998"/>
    <n v="346.48998999999998"/>
    <n v="2.6300049999999828"/>
    <n v="7405500"/>
    <n v="-0.18041237113402001"/>
    <n v="-70"/>
    <n v="7.6484764576488385E-3"/>
    <n v="388"/>
  </r>
  <r>
    <x v="549"/>
    <d v="1905-07-12T00:00:00"/>
    <x v="2"/>
    <n v="356.42999300000002"/>
    <n v="364.540009"/>
    <n v="347.85000600000001"/>
    <n v="364.13000499999998"/>
    <n v="364.13000499999998"/>
    <n v="7.7000119999999583"/>
    <n v="7604400"/>
    <n v="-0.10025706940874"/>
    <n v="-39"/>
    <n v="2.1603153918643311E-2"/>
    <n v="389"/>
  </r>
  <r>
    <x v="550"/>
    <d v="1905-07-12T00:00:00"/>
    <x v="2"/>
    <n v="358.92001299999998"/>
    <n v="362.98001099999999"/>
    <n v="344.790009"/>
    <n v="349.92001299999998"/>
    <n v="349.92001299999998"/>
    <n v="-9"/>
    <n v="6036000"/>
    <n v="-0.127320954907161"/>
    <n v="-48"/>
    <n v="-2.5075224768812208E-2"/>
    <n v="377"/>
  </r>
  <r>
    <x v="551"/>
    <d v="1905-07-12T00:00:00"/>
    <x v="2"/>
    <n v="326.5"/>
    <n v="335.72000100000002"/>
    <n v="307.32000699999998"/>
    <n v="315.25"/>
    <n v="315.25"/>
    <n v="-11.25"/>
    <n v="12071600"/>
    <n v="-0.195744680851063"/>
    <n v="-92"/>
    <n v="-3.4456355283307809E-2"/>
    <n v="470"/>
  </r>
  <r>
    <x v="552"/>
    <d v="1905-07-12T00:00:00"/>
    <x v="2"/>
    <n v="330.51001000000002"/>
    <n v="336.42001299999998"/>
    <n v="307.39001500000001"/>
    <n v="336.29998799999998"/>
    <n v="336.29998799999998"/>
    <n v="5.7899779999999623"/>
    <n v="9458200"/>
    <n v="-0.15472779369627501"/>
    <n v="-54"/>
    <n v="1.7518313590562544E-2"/>
    <n v="349"/>
  </r>
  <r>
    <x v="553"/>
    <d v="1905-07-12T00:00:00"/>
    <x v="2"/>
    <n v="306.63000499999998"/>
    <n v="334.35000600000001"/>
    <n v="294.75"/>
    <n v="298.83999599999999"/>
    <n v="298.83999599999999"/>
    <n v="-7.7900089999999977"/>
    <n v="10559900"/>
    <n v="-0.14397905759162299"/>
    <n v="-55"/>
    <n v="-2.5405240429748545E-2"/>
    <n v="382"/>
  </r>
  <r>
    <x v="554"/>
    <d v="1905-07-12T00:00:00"/>
    <x v="2"/>
    <n v="306.19000199999999"/>
    <n v="322.89999399999999"/>
    <n v="290.25"/>
    <n v="319.75"/>
    <n v="319.75"/>
    <n v="13.559998000000007"/>
    <n v="10013900"/>
    <n v="-0.16886543535619999"/>
    <n v="-64"/>
    <n v="4.428622068463231E-2"/>
    <n v="379"/>
  </r>
  <r>
    <x v="555"/>
    <d v="1905-07-12T00:00:00"/>
    <x v="2"/>
    <n v="302.39999399999999"/>
    <n v="331.57998700000002"/>
    <n v="300"/>
    <n v="315.47000100000002"/>
    <n v="315.47000100000002"/>
    <n v="13.070007000000032"/>
    <n v="12593600"/>
    <n v="-0.157894736842105"/>
    <n v="-66"/>
    <n v="4.3220923476605735E-2"/>
    <n v="418"/>
  </r>
  <r>
    <x v="556"/>
    <d v="1905-07-12T00:00:00"/>
    <x v="2"/>
    <n v="324.32998700000002"/>
    <n v="348.51001000000002"/>
    <n v="316.82000699999998"/>
    <n v="332.02999899999998"/>
    <n v="332.02999899999998"/>
    <n v="7.7000119999999583"/>
    <n v="10616000"/>
    <n v="-0.13917525773195799"/>
    <n v="-54"/>
    <n v="2.3741289145736495E-2"/>
    <n v="388"/>
  </r>
  <r>
    <x v="557"/>
    <d v="1905-07-12T00:00:00"/>
    <x v="2"/>
    <n v="342.30999800000001"/>
    <n v="350.48998999999998"/>
    <n v="332"/>
    <n v="332.82998700000002"/>
    <n v="332.82998700000002"/>
    <n v="-9.4800109999999904"/>
    <n v="10853800"/>
    <n v="-0.146964856230031"/>
    <n v="-46"/>
    <n v="-2.7694227616454223E-2"/>
    <n v="313"/>
  </r>
  <r>
    <x v="558"/>
    <d v="1905-07-12T00:00:00"/>
    <x v="2"/>
    <n v="347.89001500000001"/>
    <n v="366.10998499999999"/>
    <n v="340.88000499999998"/>
    <n v="360.26998900000001"/>
    <n v="360.26998900000001"/>
    <n v="12.379974000000004"/>
    <n v="13449400"/>
    <n v="-0.106145251396648"/>
    <n v="-57"/>
    <n v="3.5585884809025074E-2"/>
    <n v="537"/>
  </r>
  <r>
    <x v="559"/>
    <d v="1905-07-12T00:00:00"/>
    <x v="2"/>
    <n v="369.98998999999998"/>
    <n v="372.92999300000002"/>
    <n v="353.02999899999998"/>
    <n v="357.32000699999998"/>
    <n v="357.32000699999998"/>
    <n v="-12.669983000000002"/>
    <n v="11638700"/>
    <n v="-0.12756264236902001"/>
    <n v="-56"/>
    <n v="-3.4244123739671992E-2"/>
    <n v="439"/>
  </r>
  <r>
    <x v="560"/>
    <d v="1905-07-12T00:00:00"/>
    <x v="2"/>
    <n v="361.01998900000001"/>
    <n v="362"/>
    <n v="339.17001299999998"/>
    <n v="342.39001500000001"/>
    <n v="342.39001500000001"/>
    <n v="-18.629974000000004"/>
    <n v="8767200"/>
    <n v="-0.13259668508287201"/>
    <n v="-48"/>
    <n v="-5.1603718817907346E-2"/>
    <n v="362"/>
  </r>
  <r>
    <x v="561"/>
    <d v="1905-07-12T00:00:00"/>
    <x v="2"/>
    <n v="344"/>
    <n v="363.83999599999999"/>
    <n v="341.73001099999999"/>
    <n v="362.98998999999998"/>
    <n v="362.98998999999998"/>
    <n v="18.989989999999977"/>
    <n v="7229600"/>
    <n v="-0.101398601398601"/>
    <n v="-29"/>
    <n v="5.5203459302325515E-2"/>
    <n v="286"/>
  </r>
  <r>
    <x v="562"/>
    <d v="1905-07-12T00:00:00"/>
    <x v="2"/>
    <n v="359.08999599999999"/>
    <n v="368.55999800000001"/>
    <n v="353"/>
    <n v="357.11999500000002"/>
    <n v="357.11999500000002"/>
    <n v="-1.9700009999999679"/>
    <n v="7948800"/>
    <n v="-2.4390243902439001E-2"/>
    <n v="-7"/>
    <n v="-5.4860926841302704E-3"/>
    <n v="287"/>
  </r>
  <r>
    <x v="563"/>
    <d v="1905-07-12T00:00:00"/>
    <x v="2"/>
    <n v="363"/>
    <n v="377.79998799999998"/>
    <n v="361.17001299999998"/>
    <n v="370.959991"/>
    <n v="370.959991"/>
    <n v="7.9599910000000023"/>
    <n v="8622000"/>
    <n v="-8.1920903954802199E-2"/>
    <n v="-29"/>
    <n v="2.1928349862258958E-2"/>
    <n v="354"/>
  </r>
  <r>
    <x v="564"/>
    <d v="1905-07-12T00:00:00"/>
    <x v="2"/>
    <n v="367.92999300000002"/>
    <n v="383.01001000000002"/>
    <n v="366.44000199999999"/>
    <n v="375.5"/>
    <n v="375.5"/>
    <n v="7.5700069999999755"/>
    <n v="9366500"/>
    <n v="-8.0357142857142794E-2"/>
    <n v="-27"/>
    <n v="2.05745852309463E-2"/>
    <n v="336"/>
  </r>
  <r>
    <x v="565"/>
    <d v="1905-07-12T00:00:00"/>
    <x v="3"/>
    <n v="376.04998799999998"/>
    <n v="380.23001099999999"/>
    <n v="361.01998900000001"/>
    <n v="364.07998700000002"/>
    <n v="364.07998700000002"/>
    <n v="-11.970000999999968"/>
    <n v="6672500"/>
    <n v="-6.0060060060059997E-2"/>
    <n v="-20"/>
    <n v="-3.1830877229013413E-2"/>
    <n v="333"/>
  </r>
  <r>
    <x v="566"/>
    <d v="1905-07-12T00:00:00"/>
    <x v="3"/>
    <n v="364.07998700000002"/>
    <n v="370.98998999999998"/>
    <n v="360.05999800000001"/>
    <n v="370.07998700000002"/>
    <n v="370.07998700000002"/>
    <n v="6"/>
    <n v="4592500"/>
    <n v="-0.123919308357348"/>
    <n v="-43"/>
    <n v="1.6479895117113372E-2"/>
    <n v="347"/>
  </r>
  <r>
    <x v="567"/>
    <d v="1905-07-12T00:00:00"/>
    <x v="3"/>
    <n v="367.47000100000002"/>
    <n v="370.89999399999999"/>
    <n v="357.51001000000002"/>
    <n v="361.76001000000002"/>
    <n v="361.76001000000002"/>
    <n v="-5.7099910000000023"/>
    <n v="4860800"/>
    <n v="-9.5617529880478003E-2"/>
    <n v="-24"/>
    <n v="-1.5538658895859099E-2"/>
    <n v="251"/>
  </r>
  <r>
    <x v="568"/>
    <d v="1905-07-12T00:00:00"/>
    <x v="3"/>
    <n v="365.22000100000002"/>
    <n v="380.290009"/>
    <n v="361.709991"/>
    <n v="379.959991"/>
    <n v="379.959991"/>
    <n v="14.739989999999977"/>
    <n v="8183900"/>
    <n v="-6.9587628865979301E-2"/>
    <n v="-27"/>
    <n v="4.0359208038006592E-2"/>
    <n v="388"/>
  </r>
  <r>
    <x v="569"/>
    <d v="1905-07-12T00:00:00"/>
    <x v="3"/>
    <n v="380"/>
    <n v="381.32998700000002"/>
    <n v="369.33999599999999"/>
    <n v="372.27999899999998"/>
    <n v="372.27999899999998"/>
    <n v="-7.7200010000000248"/>
    <n v="7046400"/>
    <n v="-0.13043478260869501"/>
    <n v="-51"/>
    <n v="-2.0315792105263224E-2"/>
    <n v="391"/>
  </r>
  <r>
    <x v="570"/>
    <d v="1905-07-12T00:00:00"/>
    <x v="3"/>
    <n v="374.01001000000002"/>
    <n v="378.39001500000001"/>
    <n v="368.30999800000001"/>
    <n v="371.11999500000002"/>
    <n v="371.11999500000002"/>
    <n v="-2.8900150000000053"/>
    <n v="6908900"/>
    <n v="-0.11868686868686799"/>
    <n v="-47"/>
    <n v="-7.7271060205046519E-3"/>
    <n v="396"/>
  </r>
  <r>
    <x v="571"/>
    <d v="1905-07-12T00:00:00"/>
    <x v="3"/>
    <n v="371.05999800000001"/>
    <n v="372.10000600000001"/>
    <n v="363.02999899999998"/>
    <n v="370.72000100000002"/>
    <n v="370.72000100000002"/>
    <n v="-0.33999699999998256"/>
    <n v="7711300"/>
    <n v="-6.6481994459833799E-2"/>
    <n v="-24"/>
    <n v="-9.1628578082400178E-4"/>
    <n v="361"/>
  </r>
  <r>
    <x v="572"/>
    <d v="1905-07-12T00:00:00"/>
    <x v="3"/>
    <n v="371.30999800000001"/>
    <n v="400.51001000000002"/>
    <n v="367.70001200000002"/>
    <n v="396.72000100000002"/>
    <n v="396.72000100000002"/>
    <n v="25.410003000000017"/>
    <n v="11692900"/>
    <n v="-1.18343195266272E-2"/>
    <n v="-12"/>
    <n v="6.8433392951622096E-2"/>
    <n v="1014"/>
  </r>
  <r>
    <x v="573"/>
    <d v="1905-07-12T00:00:00"/>
    <x v="3"/>
    <n v="397.5"/>
    <n v="417.82000699999998"/>
    <n v="394.85000600000001"/>
    <n v="413.54998799999998"/>
    <n v="413.54998799999998"/>
    <n v="16.049987999999985"/>
    <n v="11581000"/>
    <n v="-2.3557126030624199E-2"/>
    <n v="-20"/>
    <n v="4.0377328301886756E-2"/>
    <n v="849"/>
  </r>
  <r>
    <x v="574"/>
    <d v="1905-07-12T00:00:00"/>
    <x v="3"/>
    <n v="413"/>
    <n v="434.98001099999999"/>
    <n v="412.25"/>
    <n v="426.75"/>
    <n v="426.75"/>
    <n v="13.75"/>
    <n v="13561200"/>
    <n v="-2.37868696479543E-2"/>
    <n v="-25"/>
    <n v="3.3292978208232446E-2"/>
    <n v="1051"/>
  </r>
  <r>
    <x v="575"/>
    <d v="1905-07-12T00:00:00"/>
    <x v="3"/>
    <n v="437"/>
    <n v="449.51998900000001"/>
    <n v="431.60998499999999"/>
    <n v="439.17001299999998"/>
    <n v="439.17001299999998"/>
    <n v="2.1700129999999831"/>
    <n v="16128700"/>
    <n v="-9.6719932716568494E-2"/>
    <n v="-115"/>
    <n v="4.9657048054919523E-3"/>
    <n v="1189"/>
  </r>
  <r>
    <x v="576"/>
    <d v="1905-07-12T00:00:00"/>
    <x v="3"/>
    <n v="431"/>
    <n v="432"/>
    <n v="414.70001200000002"/>
    <n v="422.959991"/>
    <n v="422.959991"/>
    <n v="-8.0400089999999977"/>
    <n v="12616300"/>
    <n v="-6.4320388349514507E-2"/>
    <n v="-53"/>
    <n v="-1.8654313225057999E-2"/>
    <n v="824"/>
  </r>
  <r>
    <x v="577"/>
    <d v="1905-07-12T00:00:00"/>
    <x v="3"/>
    <n v="435.17001299999998"/>
    <n v="444.48998999999998"/>
    <n v="430.55999800000001"/>
    <n v="437.48998999999998"/>
    <n v="437.48998999999998"/>
    <n v="2.3199769999999944"/>
    <n v="12655800"/>
    <n v="-6.25E-2"/>
    <n v="-54"/>
    <n v="5.3311968442090116E-3"/>
    <n v="864"/>
  </r>
  <r>
    <x v="578"/>
    <d v="1905-07-12T00:00:00"/>
    <x v="3"/>
    <n v="444.76998900000001"/>
    <n v="447"/>
    <n v="425.60000600000001"/>
    <n v="433.82998700000002"/>
    <n v="433.82998700000002"/>
    <n v="-10.940001999999993"/>
    <n v="23177600"/>
    <n v="-7.7268195413758706E-2"/>
    <n v="-155"/>
    <n v="-2.4596987815200796E-2"/>
    <n v="2006"/>
  </r>
  <r>
    <x v="579"/>
    <d v="1905-07-12T00:00:00"/>
    <x v="3"/>
    <n v="429.73001099999999"/>
    <n v="433"/>
    <n v="413"/>
    <n v="421.42001299999998"/>
    <n v="421.42001299999998"/>
    <n v="-8.3099980000000073"/>
    <n v="21084800"/>
    <n v="-8.0561714708056106E-2"/>
    <n v="-109"/>
    <n v="-1.9337718537884494E-2"/>
    <n v="1353"/>
  </r>
  <r>
    <x v="580"/>
    <d v="1905-07-12T00:00:00"/>
    <x v="3"/>
    <n v="419.26001000000002"/>
    <n v="438.41000400000001"/>
    <n v="419.26001000000002"/>
    <n v="426.70001200000002"/>
    <n v="426.70001200000002"/>
    <n v="7.4400019999999927"/>
    <n v="13952300"/>
    <n v="-5.4172767203513897E-2"/>
    <n v="-37"/>
    <n v="1.7745556033355037E-2"/>
    <n v="683"/>
  </r>
  <r>
    <x v="581"/>
    <d v="1905-07-12T00:00:00"/>
    <x v="3"/>
    <n v="425"/>
    <n v="427.17001299999998"/>
    <n v="415.88000499999998"/>
    <n v="424.98998999999998"/>
    <n v="424.98998999999998"/>
    <n v="-1.0010000000022501E-2"/>
    <n v="8658900"/>
    <n v="-8.2405345211581202E-2"/>
    <n v="-37"/>
    <n v="-2.3552941176523531E-5"/>
    <n v="449"/>
  </r>
  <r>
    <x v="582"/>
    <d v="1905-07-12T00:00:00"/>
    <x v="3"/>
    <n v="425"/>
    <n v="429"/>
    <n v="420.83999599999999"/>
    <n v="421.38000499999998"/>
    <n v="421.38000499999998"/>
    <n v="-3.6199950000000172"/>
    <n v="6277500"/>
    <n v="-5.1851851851851802E-2"/>
    <n v="-21"/>
    <n v="-8.5176352941176876E-3"/>
    <n v="405"/>
  </r>
  <r>
    <x v="583"/>
    <d v="1905-07-12T00:00:00"/>
    <x v="3"/>
    <n v="419.98998999999998"/>
    <n v="421"/>
    <n v="402.91000400000001"/>
    <n v="403.82998700000002"/>
    <n v="403.82998700000002"/>
    <n v="-16.160002999999961"/>
    <n v="10101200"/>
    <n v="-0.110726643598615"/>
    <n v="-64"/>
    <n v="-3.8477114656946851E-2"/>
    <n v="578"/>
  </r>
  <r>
    <x v="584"/>
    <d v="1905-07-12T00:00:00"/>
    <x v="3"/>
    <n v="399.52999899999998"/>
    <n v="415.85998499999999"/>
    <n v="393.60000600000001"/>
    <n v="411.89001500000001"/>
    <n v="411.89001500000001"/>
    <n v="12.36001600000003"/>
    <n v="9693100"/>
    <n v="0"/>
    <n v="0"/>
    <n v="3.0936390335985837E-2"/>
    <n v="501"/>
  </r>
  <r>
    <x v="585"/>
    <d v="1905-07-12T00:00:00"/>
    <x v="3"/>
    <n v="410.30999800000001"/>
    <n v="424.44000199999999"/>
    <n v="408"/>
    <n v="419.85000600000001"/>
    <n v="419.85000600000001"/>
    <n v="9.5400080000000003"/>
    <n v="7954000"/>
    <n v="-5.1339285714285698E-2"/>
    <n v="-23"/>
    <n v="2.3250732486416282E-2"/>
    <n v="448"/>
  </r>
  <r>
    <x v="586"/>
    <d v="1905-07-12T00:00:00"/>
    <x v="4"/>
    <n v="415.10000600000001"/>
    <n v="427.97000100000002"/>
    <n v="411.73001099999999"/>
    <n v="415.26998900000001"/>
    <n v="415.26998900000001"/>
    <n v="0.16998300000000199"/>
    <n v="8299900"/>
    <n v="-2.9702970297029702E-2"/>
    <n v="-12"/>
    <n v="4.0949891000483868E-4"/>
    <n v="404"/>
  </r>
  <r>
    <x v="587"/>
    <d v="1905-07-12T00:00:00"/>
    <x v="4"/>
    <n v="417.77999899999998"/>
    <n v="428.540009"/>
    <n v="414.86999500000002"/>
    <n v="428.14999399999999"/>
    <n v="428.14999399999999"/>
    <n v="10.369995000000017"/>
    <n v="7799100"/>
    <n v="-2.04081632653061E-2"/>
    <n v="-11"/>
    <n v="2.4821664571836093E-2"/>
    <n v="539"/>
  </r>
  <r>
    <x v="588"/>
    <d v="1905-07-12T00:00:00"/>
    <x v="4"/>
    <n v="427.55999800000001"/>
    <n v="431"/>
    <n v="421.55999800000001"/>
    <n v="424.67999300000002"/>
    <n v="424.67999300000002"/>
    <n v="-2.8800049999999828"/>
    <n v="6286300"/>
    <n v="-7.5757575757575704E-2"/>
    <n v="-40"/>
    <n v="-6.7359084420240429E-3"/>
    <n v="528"/>
  </r>
  <r>
    <x v="589"/>
    <d v="1905-07-12T00:00:00"/>
    <x v="4"/>
    <n v="429.29998799999998"/>
    <n v="439.76998900000001"/>
    <n v="426.39001500000001"/>
    <n v="434.26001000000002"/>
    <n v="434.26001000000002"/>
    <n v="4.9600220000000377"/>
    <n v="6660700"/>
    <n v="-6.2043795620437901E-2"/>
    <n v="-34"/>
    <n v="1.1553743626007364E-2"/>
    <n v="548"/>
  </r>
  <r>
    <x v="590"/>
    <d v="1905-07-12T00:00:00"/>
    <x v="4"/>
    <n v="436.89001500000001"/>
    <n v="438.88000499999998"/>
    <n v="430.66000400000001"/>
    <n v="436.52999899999998"/>
    <n v="436.52999899999998"/>
    <n v="-0.36001600000003009"/>
    <n v="5641900"/>
    <n v="-5.6603773584905599E-2"/>
    <n v="-24"/>
    <n v="-8.2404263690949789E-4"/>
    <n v="424"/>
  </r>
  <r>
    <x v="591"/>
    <d v="1905-07-12T00:00:00"/>
    <x v="4"/>
    <n v="434.14001500000001"/>
    <n v="442"/>
    <n v="433.64001500000001"/>
    <n v="435.54998799999998"/>
    <n v="435.54998799999998"/>
    <n v="1.4099729999999795"/>
    <n v="5049300"/>
    <n v="-5.9945504087193402E-2"/>
    <n v="-22"/>
    <n v="3.2477379446351645E-3"/>
    <n v="367"/>
  </r>
  <r>
    <x v="592"/>
    <d v="1905-07-12T00:00:00"/>
    <x v="4"/>
    <n v="436.32998700000002"/>
    <n v="444.89001500000001"/>
    <n v="435.55999800000001"/>
    <n v="440.51998900000001"/>
    <n v="440.51998900000001"/>
    <n v="4.1900019999999927"/>
    <n v="5486000"/>
    <n v="-4.75059382422802E-2"/>
    <n v="-20"/>
    <n v="9.6028284207750145E-3"/>
    <n v="421"/>
  </r>
  <r>
    <x v="593"/>
    <d v="1905-07-12T00:00:00"/>
    <x v="4"/>
    <n v="442"/>
    <n v="444.17001299999998"/>
    <n v="431.35998499999999"/>
    <n v="431.82000699999998"/>
    <n v="431.82000699999998"/>
    <n v="-10.179993000000024"/>
    <n v="4598200"/>
    <n v="-3.2467532467532402E-2"/>
    <n v="-15"/>
    <n v="-2.3031658371040778E-2"/>
    <n v="462"/>
  </r>
  <r>
    <x v="594"/>
    <d v="1905-07-12T00:00:00"/>
    <x v="4"/>
    <n v="435.69000199999999"/>
    <n v="447"/>
    <n v="427.26998900000001"/>
    <n v="438.26998900000001"/>
    <n v="438.26998900000001"/>
    <n v="2.5799870000000169"/>
    <n v="7014600"/>
    <n v="-9.8265895953757204E-2"/>
    <n v="-51"/>
    <n v="5.9216116692069904E-3"/>
    <n v="519"/>
  </r>
  <r>
    <x v="595"/>
    <d v="1905-07-12T00:00:00"/>
    <x v="4"/>
    <n v="444.89999399999999"/>
    <n v="452.38000499999998"/>
    <n v="432.82000699999998"/>
    <n v="441.95001200000002"/>
    <n v="441.95001200000002"/>
    <n v="-2.9499819999999772"/>
    <n v="9007500"/>
    <n v="-3.9872408293460899E-2"/>
    <n v="-25"/>
    <n v="-6.6306631597751317E-3"/>
    <n v="627"/>
  </r>
  <r>
    <x v="596"/>
    <d v="1905-07-12T00:00:00"/>
    <x v="4"/>
    <n v="440.70001200000002"/>
    <n v="455"/>
    <n v="437.51001000000002"/>
    <n v="454.19000199999999"/>
    <n v="454.19000199999999"/>
    <n v="13.489989999999977"/>
    <n v="7244000"/>
    <n v="-6.0665362035224997E-2"/>
    <n v="-31"/>
    <n v="3.0610369032619808E-2"/>
    <n v="511"/>
  </r>
  <r>
    <x v="597"/>
    <d v="1905-07-12T00:00:00"/>
    <x v="4"/>
    <n v="451.16000400000001"/>
    <n v="456.35998499999999"/>
    <n v="443.35000600000001"/>
    <n v="452.57998700000002"/>
    <n v="452.57998700000002"/>
    <n v="1.419983000000002"/>
    <n v="7773500"/>
    <n v="-8.6372360844529705E-2"/>
    <n v="-45"/>
    <n v="3.1474044405762572E-3"/>
    <n v="521"/>
  </r>
  <r>
    <x v="598"/>
    <d v="1905-07-12T00:00:00"/>
    <x v="4"/>
    <n v="453.39999399999999"/>
    <n v="458.97000100000002"/>
    <n v="450.47000100000002"/>
    <n v="451.040009"/>
    <n v="451.040009"/>
    <n v="-2.3599849999999947"/>
    <n v="4810500"/>
    <n v="-6.5268065268065195E-2"/>
    <n v="-28"/>
    <n v="-5.2050838800849096E-3"/>
    <n v="429"/>
  </r>
  <r>
    <x v="599"/>
    <d v="1905-07-12T00:00:00"/>
    <x v="4"/>
    <n v="454.25"/>
    <n v="455.80999800000001"/>
    <n v="444"/>
    <n v="447.67001299999998"/>
    <n v="447.67001299999998"/>
    <n v="-6.5799870000000169"/>
    <n v="5607300"/>
    <n v="-9.0909090909090898E-2"/>
    <n v="-38"/>
    <n v="-1.4485386901486003E-2"/>
    <n v="418"/>
  </r>
  <r>
    <x v="600"/>
    <d v="1905-07-12T00:00:00"/>
    <x v="4"/>
    <n v="448.55999800000001"/>
    <n v="448.959991"/>
    <n v="430.25"/>
    <n v="436.25"/>
    <n v="436.25"/>
    <n v="-12.309998000000007"/>
    <n v="9117300"/>
    <n v="-0.10546875"/>
    <n v="-54"/>
    <n v="-2.7443370017136499E-2"/>
    <n v="512"/>
  </r>
  <r>
    <x v="601"/>
    <d v="1905-07-12T00:00:00"/>
    <x v="4"/>
    <n v="437"/>
    <n v="439.08999599999999"/>
    <n v="427.17999300000002"/>
    <n v="429.32000699999998"/>
    <n v="429.32000699999998"/>
    <n v="-7.6799930000000245"/>
    <n v="5422300"/>
    <n v="-8.4967320261437898E-2"/>
    <n v="-26"/>
    <n v="-1.7574354691075572E-2"/>
    <n v="306"/>
  </r>
  <r>
    <x v="602"/>
    <d v="1905-07-12T00:00:00"/>
    <x v="4"/>
    <n v="427.76998900000001"/>
    <n v="428.5"/>
    <n v="413.14001500000001"/>
    <n v="414.76998900000001"/>
    <n v="414.76998900000001"/>
    <n v="-13"/>
    <n v="7881100"/>
    <n v="-0.11332007952286199"/>
    <n v="-57"/>
    <n v="-3.0390163719503007E-2"/>
    <n v="503"/>
  </r>
  <r>
    <x v="603"/>
    <d v="1905-07-12T00:00:00"/>
    <x v="4"/>
    <n v="410.38000499999998"/>
    <n v="420.01998900000001"/>
    <n v="397.85998499999999"/>
    <n v="419.89001500000001"/>
    <n v="419.89001500000001"/>
    <n v="9.5100100000000225"/>
    <n v="10446300"/>
    <n v="-5.6478405315614599E-2"/>
    <n v="-34"/>
    <n v="2.3173668025078423E-2"/>
    <n v="602"/>
  </r>
  <r>
    <x v="604"/>
    <d v="1905-07-12T00:00:00"/>
    <x v="4"/>
    <n v="417.23998999999998"/>
    <n v="422.36999500000002"/>
    <n v="411.5"/>
    <n v="413.44000199999999"/>
    <n v="413.44000199999999"/>
    <n v="-3.7999879999999848"/>
    <n v="5655100"/>
    <n v="-4.0632054176072199E-2"/>
    <n v="-18"/>
    <n v="-9.1074395817140746E-3"/>
    <n v="443"/>
  </r>
  <r>
    <x v="605"/>
    <d v="1905-07-12T00:00:00"/>
    <x v="4"/>
    <n v="417.459991"/>
    <n v="420.29998799999998"/>
    <n v="411.85000600000001"/>
    <n v="419.73001099999999"/>
    <n v="419.73001099999999"/>
    <n v="2.2700199999999882"/>
    <n v="5254900"/>
    <n v="-8.3333333333333301E-2"/>
    <n v="-23"/>
    <n v="5.4376947466565437E-3"/>
    <n v="276"/>
  </r>
  <r>
    <x v="606"/>
    <d v="1905-07-12T00:00:00"/>
    <x v="5"/>
    <n v="418.82998700000002"/>
    <n v="426.72000100000002"/>
    <n v="415.98001099999999"/>
    <n v="425.92001299999998"/>
    <n v="425.92001299999998"/>
    <n v="7.0900259999999662"/>
    <n v="3743700"/>
    <n v="-1.06666666666666E-2"/>
    <n v="-4"/>
    <n v="1.6928171859862475E-2"/>
    <n v="375"/>
  </r>
  <r>
    <x v="607"/>
    <d v="1905-07-12T00:00:00"/>
    <x v="5"/>
    <n v="425.86999500000002"/>
    <n v="427.58999599999999"/>
    <n v="419.459991"/>
    <n v="427.30999800000001"/>
    <n v="427.30999800000001"/>
    <n v="1.4400029999999902"/>
    <n v="3494800"/>
    <n v="-4.3343653250773898E-2"/>
    <n v="-14"/>
    <n v="3.38132063048957E-3"/>
    <n v="323"/>
  </r>
  <r>
    <x v="608"/>
    <d v="1905-07-12T00:00:00"/>
    <x v="5"/>
    <n v="426.95001200000002"/>
    <n v="427.10000600000001"/>
    <n v="418.04998799999998"/>
    <n v="421.97000100000002"/>
    <n v="421.97000100000002"/>
    <n v="-4.9800109999999904"/>
    <n v="4316000"/>
    <n v="-9.5571095571095499E-2"/>
    <n v="-41"/>
    <n v="-1.1664154725448258E-2"/>
    <n v="429"/>
  </r>
  <r>
    <x v="609"/>
    <d v="1905-07-12T00:00:00"/>
    <x v="5"/>
    <n v="422.39001500000001"/>
    <n v="428.709991"/>
    <n v="410.02999899999998"/>
    <n v="414.32998700000002"/>
    <n v="414.32998700000002"/>
    <n v="-8.0600279999999884"/>
    <n v="5410500"/>
    <n v="-0.107579462102689"/>
    <n v="-44"/>
    <n v="-1.9081956755061996E-2"/>
    <n v="409"/>
  </r>
  <r>
    <x v="610"/>
    <d v="1905-07-12T00:00:00"/>
    <x v="5"/>
    <n v="407.290009"/>
    <n v="420.23998999999998"/>
    <n v="404.25"/>
    <n v="419.60000600000001"/>
    <n v="419.60000600000001"/>
    <n v="12.30999700000001"/>
    <n v="5099600"/>
    <n v="-7.4550128534704302E-2"/>
    <n v="-29"/>
    <n v="3.0224156566531466E-2"/>
    <n v="389"/>
  </r>
  <r>
    <x v="611"/>
    <d v="1905-07-12T00:00:00"/>
    <x v="5"/>
    <n v="416"/>
    <n v="420.79998799999998"/>
    <n v="406.5"/>
    <n v="419.48998999999998"/>
    <n v="419.48998999999998"/>
    <n v="3.4899899999999775"/>
    <n v="5851500"/>
    <n v="-5.9701492537313397E-2"/>
    <n v="-28"/>
    <n v="8.3893990384614845E-3"/>
    <n v="469"/>
  </r>
  <r>
    <x v="612"/>
    <d v="1905-07-12T00:00:00"/>
    <x v="5"/>
    <n v="421.64999399999999"/>
    <n v="434.73001099999999"/>
    <n v="420.30999800000001"/>
    <n v="434.04998799999998"/>
    <n v="434.04998799999998"/>
    <n v="12.399993999999992"/>
    <n v="6797000"/>
    <n v="-4.4563279857397498E-2"/>
    <n v="-25"/>
    <n v="2.9408263195658892E-2"/>
    <n v="561"/>
  </r>
  <r>
    <x v="613"/>
    <d v="1905-07-12T00:00:00"/>
    <x v="5"/>
    <n v="436"/>
    <n v="439.69000199999999"/>
    <n v="430.54998799999998"/>
    <n v="434.48001099999999"/>
    <n v="434.48001099999999"/>
    <n v="-1.5199890000000096"/>
    <n v="4896900"/>
    <n v="-8.6859688195991006E-2"/>
    <n v="-39"/>
    <n v="-3.4862133027523156E-3"/>
    <n v="449"/>
  </r>
  <r>
    <x v="614"/>
    <d v="1905-07-12T00:00:00"/>
    <x v="5"/>
    <n v="428.20001200000002"/>
    <n v="445.57000699999998"/>
    <n v="424.16000400000001"/>
    <n v="425.55999800000001"/>
    <n v="425.55999800000001"/>
    <n v="-2.6400140000000079"/>
    <n v="7462900"/>
    <n v="-4.2553191489361701E-2"/>
    <n v="-26"/>
    <n v="-6.165375819746609E-3"/>
    <n v="611"/>
  </r>
  <r>
    <x v="615"/>
    <d v="1905-07-12T00:00:00"/>
    <x v="5"/>
    <n v="429"/>
    <n v="434.05999800000001"/>
    <n v="412.45001200000002"/>
    <n v="418.07000699999998"/>
    <n v="418.07000699999998"/>
    <n v="-10.929993000000024"/>
    <n v="6461100"/>
    <n v="-6.7441860465116202E-2"/>
    <n v="-29"/>
    <n v="-2.5477839160839219E-2"/>
    <n v="430"/>
  </r>
  <r>
    <x v="616"/>
    <d v="1905-07-12T00:00:00"/>
    <x v="5"/>
    <n v="421.39999399999999"/>
    <n v="426.48998999999998"/>
    <n v="415.42001299999998"/>
    <n v="425.5"/>
    <n v="425.5"/>
    <n v="4.1000060000000076"/>
    <n v="4467900"/>
    <n v="-6.3205417607223396E-2"/>
    <n v="-28"/>
    <n v="9.7294875614070547E-3"/>
    <n v="443"/>
  </r>
  <r>
    <x v="617"/>
    <d v="1905-07-12T00:00:00"/>
    <x v="5"/>
    <n v="425.76001000000002"/>
    <n v="437.959991"/>
    <n v="425.17999300000002"/>
    <n v="436.13000499999998"/>
    <n v="436.13000499999998"/>
    <n v="10.36999499999996"/>
    <n v="5507900"/>
    <n v="-4.8997772828507702E-2"/>
    <n v="-22"/>
    <n v="2.43564326297342E-2"/>
    <n v="449"/>
  </r>
  <r>
    <x v="618"/>
    <d v="1905-07-12T00:00:00"/>
    <x v="5"/>
    <n v="441.82000699999998"/>
    <n v="450.459991"/>
    <n v="439.22000100000002"/>
    <n v="447.76998900000001"/>
    <n v="447.76998900000001"/>
    <n v="5.9499820000000341"/>
    <n v="6529600"/>
    <n v="-3.4343434343434301E-2"/>
    <n v="-17"/>
    <n v="1.3466981815515734E-2"/>
    <n v="495"/>
  </r>
  <r>
    <x v="619"/>
    <d v="1905-07-12T00:00:00"/>
    <x v="5"/>
    <n v="448.73001099999999"/>
    <n v="452.76001000000002"/>
    <n v="442.79998799999998"/>
    <n v="449.86999500000002"/>
    <n v="449.86999500000002"/>
    <n v="1.1399840000000268"/>
    <n v="4277600"/>
    <n v="-3.5634743875278298E-2"/>
    <n v="-16"/>
    <n v="2.5404674794528657E-3"/>
    <n v="449"/>
  </r>
  <r>
    <x v="620"/>
    <d v="1905-07-12T00:00:00"/>
    <x v="5"/>
    <n v="449.11999500000002"/>
    <n v="453.97000100000002"/>
    <n v="445.60000600000001"/>
    <n v="453.72000100000002"/>
    <n v="453.72000100000002"/>
    <n v="4.6000060000000076"/>
    <n v="5934500"/>
    <n v="-2.3598820058997001E-2"/>
    <n v="-8"/>
    <n v="1.0242264987556404E-2"/>
    <n v="339"/>
  </r>
  <r>
    <x v="621"/>
    <d v="1905-07-12T00:00:00"/>
    <x v="5"/>
    <n v="455.01001000000002"/>
    <n v="468.58999599999999"/>
    <n v="454.209991"/>
    <n v="468.040009"/>
    <n v="468.040009"/>
    <n v="13.029998999999975"/>
    <n v="6272100"/>
    <n v="-2.81923714759535E-2"/>
    <n v="-17"/>
    <n v="2.8636730431490891E-2"/>
    <n v="603"/>
  </r>
  <r>
    <x v="622"/>
    <d v="1905-07-12T00:00:00"/>
    <x v="5"/>
    <n v="466.5"/>
    <n v="474.01001000000002"/>
    <n v="464.5"/>
    <n v="466.26001000000002"/>
    <n v="466.26001000000002"/>
    <n v="-0.2399899999999775"/>
    <n v="5948400"/>
    <n v="-3.2629558541266701E-2"/>
    <n v="-17"/>
    <n v="-5.1444801714893356E-4"/>
    <n v="521"/>
  </r>
  <r>
    <x v="623"/>
    <d v="1905-07-12T00:00:00"/>
    <x v="5"/>
    <n v="468.540009"/>
    <n v="472.35998499999999"/>
    <n v="454"/>
    <n v="457.85000600000001"/>
    <n v="457.85000600000001"/>
    <n v="-10.69000299999999"/>
    <n v="4826200"/>
    <n v="-6.19946091644204E-2"/>
    <n v="-23"/>
    <n v="-2.2815560666453117E-2"/>
    <n v="371"/>
  </r>
  <r>
    <x v="624"/>
    <d v="1905-07-12T00:00:00"/>
    <x v="5"/>
    <n v="458.85998499999999"/>
    <n v="467.01001000000002"/>
    <n v="454"/>
    <n v="465.91000400000001"/>
    <n v="465.91000400000001"/>
    <n v="7.0500190000000202"/>
    <n v="4134500"/>
    <n v="-9.03954802259887E-2"/>
    <n v="-32"/>
    <n v="1.5364205270590375E-2"/>
    <n v="354"/>
  </r>
  <r>
    <x v="625"/>
    <d v="1905-07-12T00:00:00"/>
    <x v="5"/>
    <n v="466.39001500000001"/>
    <n v="468.02999899999998"/>
    <n v="442.23998999999998"/>
    <n v="443.39999399999999"/>
    <n v="443.39999399999999"/>
    <n v="-22.990021000000013"/>
    <n v="6804700"/>
    <n v="-5.8651026392961797E-2"/>
    <n v="-20"/>
    <n v="-4.9293553164940745E-2"/>
    <n v="341"/>
  </r>
  <r>
    <x v="626"/>
    <d v="1905-07-12T00:00:00"/>
    <x v="5"/>
    <n v="445.23001099999999"/>
    <n v="447.67001299999998"/>
    <n v="432.14001500000001"/>
    <n v="447.23998999999998"/>
    <n v="447.23998999999998"/>
    <n v="2.0099789999999871"/>
    <n v="4844000"/>
    <n v="-2.5236593059936901E-2"/>
    <n v="-8"/>
    <n v="4.5144733066971691E-3"/>
    <n v="317"/>
  </r>
  <r>
    <x v="627"/>
    <d v="1905-07-12T00:00:00"/>
    <x v="5"/>
    <n v="450.01998900000001"/>
    <n v="457.58999599999999"/>
    <n v="447"/>
    <n v="455.040009"/>
    <n v="455.040009"/>
    <n v="5.0200199999999882"/>
    <n v="4198500"/>
    <n v="-1.46699266503667E-2"/>
    <n v="-6"/>
    <n v="1.1155104490258517E-2"/>
    <n v="409"/>
  </r>
  <r>
    <x v="628"/>
    <d v="1905-07-12T00:00:00"/>
    <x v="6"/>
    <n v="454"/>
    <n v="488.23001099999999"/>
    <n v="454"/>
    <n v="485.64001500000001"/>
    <n v="485.64001500000001"/>
    <n v="31.640015000000005"/>
    <n v="9705900"/>
    <n v="-3.47721822541966E-2"/>
    <n v="-29"/>
    <n v="6.9691662995594719E-2"/>
    <n v="834"/>
  </r>
  <r>
    <x v="629"/>
    <d v="1905-07-12T00:00:00"/>
    <x v="6"/>
    <n v="485.64001500000001"/>
    <n v="492.27999899999998"/>
    <n v="475.52999899999998"/>
    <n v="476.89001500000001"/>
    <n v="476.89001500000001"/>
    <n v="-8.75"/>
    <n v="6351500"/>
    <n v="-2.2267206477732698E-2"/>
    <n v="-11"/>
    <n v="-1.8017460937604163E-2"/>
    <n v="494"/>
  </r>
  <r>
    <x v="630"/>
    <d v="1905-07-12T00:00:00"/>
    <x v="6"/>
    <n v="480.76998900000001"/>
    <n v="499.5"/>
    <n v="479.79998799999998"/>
    <n v="493.80999800000001"/>
    <n v="493.80999800000001"/>
    <n v="13.040008999999998"/>
    <n v="7839000"/>
    <n v="-1.9070321811680498E-2"/>
    <n v="-16"/>
    <n v="2.7123175943496752E-2"/>
    <n v="839"/>
  </r>
  <r>
    <x v="631"/>
    <d v="1905-07-12T00:00:00"/>
    <x v="6"/>
    <n v="497.30999800000001"/>
    <n v="504.82000699999998"/>
    <n v="490.82998700000002"/>
    <n v="493.16000400000001"/>
    <n v="493.16000400000001"/>
    <n v="-4.1499939999999924"/>
    <n v="5669900"/>
    <n v="-5.5762081784385999E-3"/>
    <n v="-3"/>
    <n v="-8.34488350664527E-3"/>
    <n v="538"/>
  </r>
  <r>
    <x v="632"/>
    <d v="1905-07-12T00:00:00"/>
    <x v="6"/>
    <n v="498.57998700000002"/>
    <n v="505.10000600000001"/>
    <n v="493.80999800000001"/>
    <n v="502.77999899999998"/>
    <n v="502.77999899999998"/>
    <n v="4.2000119999999583"/>
    <n v="5691700"/>
    <n v="-2.6890756302521E-2"/>
    <n v="-16"/>
    <n v="8.4239482320014551E-3"/>
    <n v="595"/>
  </r>
  <r>
    <x v="633"/>
    <d v="1905-07-12T00:00:00"/>
    <x v="6"/>
    <n v="508.39999399999999"/>
    <n v="510"/>
    <n v="495.77999899999998"/>
    <n v="507.76001000000002"/>
    <n v="507.76001000000002"/>
    <n v="-0.63998399999996991"/>
    <n v="5840500"/>
    <n v="-7.9429735234215801E-2"/>
    <n v="-39"/>
    <n v="-1.2588198417641404E-3"/>
    <n v="491"/>
  </r>
  <r>
    <x v="634"/>
    <d v="1905-07-12T00:00:00"/>
    <x v="6"/>
    <n v="519.72997999999995"/>
    <n v="555.88000499999998"/>
    <n v="511.27999899999998"/>
    <n v="548.72997999999995"/>
    <n v="548.72997999999995"/>
    <n v="29"/>
    <n v="21605600"/>
    <n v="9.8119378577268997E-3"/>
    <n v="12"/>
    <n v="5.5798205060250718E-2"/>
    <n v="1223"/>
  </r>
  <r>
    <x v="635"/>
    <d v="1905-07-12T00:00:00"/>
    <x v="6"/>
    <n v="567.97997999999995"/>
    <n v="575.36999500000002"/>
    <n v="520.96002199999998"/>
    <n v="525.5"/>
    <n v="525.5"/>
    <n v="-42.479979999999955"/>
    <n v="18399000"/>
    <n v="-4.1176470588235203E-2"/>
    <n v="-42"/>
    <n v="-7.4791333314248074E-2"/>
    <n v="1020"/>
  </r>
  <r>
    <x v="636"/>
    <d v="1905-07-12T00:00:00"/>
    <x v="6"/>
    <n v="517.080017"/>
    <n v="525.5"/>
    <n v="490.48998999999998"/>
    <n v="524.88000499999998"/>
    <n v="524.88000499999998"/>
    <n v="7.7999879999999848"/>
    <n v="15083300"/>
    <n v="-8.6065573770491802E-2"/>
    <n v="-63"/>
    <n v="1.5084682725227002E-2"/>
    <n v="732"/>
  </r>
  <r>
    <x v="637"/>
    <d v="1905-07-12T00:00:00"/>
    <x v="6"/>
    <n v="516.29998799999998"/>
    <n v="529"/>
    <n v="510.17999300000002"/>
    <n v="523.26000999999997"/>
    <n v="523.26000999999997"/>
    <n v="6.9600219999999808"/>
    <n v="10066700"/>
    <n v="-2.9733959311424099E-2"/>
    <n v="-19"/>
    <n v="1.3480577497127466E-2"/>
    <n v="639"/>
  </r>
  <r>
    <x v="638"/>
    <d v="1905-07-12T00:00:00"/>
    <x v="6"/>
    <n v="526.47997999999995"/>
    <n v="535.53997800000002"/>
    <n v="504.35998499999999"/>
    <n v="527.39001499999995"/>
    <n v="527.39001499999995"/>
    <n v="0.91003499999999349"/>
    <n v="24499000"/>
    <n v="-0.157744468236973"/>
    <n v="-442"/>
    <n v="1.7285272651772884E-3"/>
    <n v="2802"/>
  </r>
  <r>
    <x v="639"/>
    <d v="1905-07-12T00:00:00"/>
    <x v="6"/>
    <n v="494.86999500000002"/>
    <n v="503.58999599999999"/>
    <n v="484.14001500000001"/>
    <n v="492.98998999999998"/>
    <n v="492.98998999999998"/>
    <n v="-1.8800050000000397"/>
    <n v="24991400"/>
    <n v="-9.39668980245595E-2"/>
    <n v="-176"/>
    <n v="-3.7989876512922139E-3"/>
    <n v="1873"/>
  </r>
  <r>
    <x v="640"/>
    <d v="1905-07-12T00:00:00"/>
    <x v="6"/>
    <n v="489.14001500000001"/>
    <n v="504.5"/>
    <n v="484.20001200000002"/>
    <n v="502.41000400000001"/>
    <n v="502.41000400000001"/>
    <n v="13.26998900000001"/>
    <n v="11940300"/>
    <n v="-6.5610859728506707E-2"/>
    <n v="-58"/>
    <n v="2.7129223929880302E-2"/>
    <n v="884"/>
  </r>
  <r>
    <x v="641"/>
    <d v="1905-07-12T00:00:00"/>
    <x v="6"/>
    <n v="506"/>
    <n v="506.22000100000002"/>
    <n v="488.60998499999999"/>
    <n v="490.10000600000001"/>
    <n v="490.10000600000001"/>
    <n v="-15.899993999999992"/>
    <n v="9113700"/>
    <n v="-7.3732718894009203E-2"/>
    <n v="-48"/>
    <n v="-3.1422913043478246E-2"/>
    <n v="651"/>
  </r>
  <r>
    <x v="642"/>
    <d v="1905-07-12T00:00:00"/>
    <x v="6"/>
    <n v="492.19000199999999"/>
    <n v="497.20001200000002"/>
    <n v="487.20001200000002"/>
    <n v="489.82000699999998"/>
    <n v="489.82000699999998"/>
    <n v="-2.3699950000000172"/>
    <n v="6954100"/>
    <n v="-8.4922010398613496E-2"/>
    <n v="-49"/>
    <n v="-4.8152034587651323E-3"/>
    <n v="577"/>
  </r>
  <r>
    <x v="643"/>
    <d v="1905-07-12T00:00:00"/>
    <x v="6"/>
    <n v="491.13000499999998"/>
    <n v="491.89999399999999"/>
    <n v="472.01998900000001"/>
    <n v="477.57998700000002"/>
    <n v="477.57998700000002"/>
    <n v="-13.550017999999966"/>
    <n v="7722000"/>
    <n v="-9.9037138927097604E-2"/>
    <n v="-72"/>
    <n v="-2.7589472974675955E-2"/>
    <n v="727"/>
  </r>
  <r>
    <x v="644"/>
    <d v="1905-07-12T00:00:00"/>
    <x v="6"/>
    <n v="468.76998900000001"/>
    <n v="487.17001299999998"/>
    <n v="467.540009"/>
    <n v="480.45001200000002"/>
    <n v="480.45001200000002"/>
    <n v="11.680023000000006"/>
    <n v="7746200"/>
    <n v="-3.7089871611982801E-2"/>
    <n v="-26"/>
    <n v="2.4916319888387748E-2"/>
    <n v="701"/>
  </r>
  <r>
    <x v="645"/>
    <d v="1905-07-12T00:00:00"/>
    <x v="6"/>
    <n v="484.51001000000002"/>
    <n v="496.92001299999998"/>
    <n v="482.30999800000001"/>
    <n v="495.64999399999999"/>
    <n v="495.64999399999999"/>
    <n v="11.13998399999997"/>
    <n v="7863100"/>
    <n v="-1.1764705882352899E-2"/>
    <n v="-6"/>
    <n v="2.2992268002883922E-2"/>
    <n v="510"/>
  </r>
  <r>
    <x v="646"/>
    <d v="1905-07-12T00:00:00"/>
    <x v="6"/>
    <n v="496.01998900000001"/>
    <n v="497.790009"/>
    <n v="487.76001000000002"/>
    <n v="488.51001000000002"/>
    <n v="488.51001000000002"/>
    <n v="-7.5099789999999871"/>
    <n v="5986700"/>
    <n v="-5.4945054945054903E-2"/>
    <n v="-20"/>
    <n v="-1.5140476526239323E-2"/>
    <n v="364"/>
  </r>
  <r>
    <x v="647"/>
    <d v="1905-07-12T00:00:00"/>
    <x v="6"/>
    <n v="492.25"/>
    <n v="494.92001299999998"/>
    <n v="484.13000499999998"/>
    <n v="484.48001099999999"/>
    <n v="484.48001099999999"/>
    <n v="-7.7699890000000096"/>
    <n v="6611800"/>
    <n v="-6.1440677966101698E-2"/>
    <n v="-29"/>
    <n v="-1.5784639918740496E-2"/>
    <n v="472"/>
  </r>
  <r>
    <x v="648"/>
    <d v="1905-07-12T00:00:00"/>
    <x v="6"/>
    <n v="480.709991"/>
    <n v="488.35000600000001"/>
    <n v="477.51001000000002"/>
    <n v="485.79998799999998"/>
    <n v="485.79998799999998"/>
    <n v="5.0899969999999826"/>
    <n v="6608600"/>
    <n v="-5.7692307692307598E-2"/>
    <n v="-24"/>
    <n v="1.0588498461227077E-2"/>
    <n v="416"/>
  </r>
  <r>
    <x v="649"/>
    <d v="1905-07-12T00:00:00"/>
    <x v="6"/>
    <n v="488.290009"/>
    <n v="494.79998799999998"/>
    <n v="484.5"/>
    <n v="488.88000499999998"/>
    <n v="488.88000499999998"/>
    <n v="0.58999599999998509"/>
    <n v="5916300"/>
    <n v="-4.7091412742382197E-2"/>
    <n v="-17"/>
    <n v="1.2082901331695794E-3"/>
    <n v="361"/>
  </r>
  <r>
    <x v="650"/>
    <d v="1905-07-12T00:00:00"/>
    <x v="7"/>
    <n v="490.85998499999999"/>
    <n v="503.08999599999999"/>
    <n v="490.23001099999999"/>
    <n v="498.61999500000002"/>
    <n v="498.61999500000002"/>
    <n v="7.7600100000000225"/>
    <n v="5873100"/>
    <n v="-2.0833333333333301E-2"/>
    <n v="-11"/>
    <n v="1.5809009161747056E-2"/>
    <n v="528"/>
  </r>
  <r>
    <x v="651"/>
    <d v="1905-07-12T00:00:00"/>
    <x v="7"/>
    <n v="498.64999399999999"/>
    <n v="510.44000199999999"/>
    <n v="498.64999399999999"/>
    <n v="509.64001500000001"/>
    <n v="509.64001500000001"/>
    <n v="10.990021000000013"/>
    <n v="5608000"/>
    <n v="-3.0769230769230702E-2"/>
    <n v="-16"/>
    <n v="2.2039549046901249E-2"/>
    <n v="520"/>
  </r>
  <r>
    <x v="652"/>
    <d v="1905-07-12T00:00:00"/>
    <x v="7"/>
    <n v="508.67999300000002"/>
    <n v="510.10000600000001"/>
    <n v="501.20001200000002"/>
    <n v="502.10998499999999"/>
    <n v="502.10998499999999"/>
    <n v="-6.5700080000000298"/>
    <n v="4308200"/>
    <n v="-7.2398190045248806E-2"/>
    <n v="-32"/>
    <n v="-1.291579792877765E-2"/>
    <n v="442"/>
  </r>
  <r>
    <x v="653"/>
    <d v="1905-07-12T00:00:00"/>
    <x v="7"/>
    <n v="504.10998499999999"/>
    <n v="510.82000699999998"/>
    <n v="498.70001200000002"/>
    <n v="509.07998700000002"/>
    <n v="509.07998700000002"/>
    <n v="4.9700020000000222"/>
    <n v="3725900"/>
    <n v="-3.86178861788617E-2"/>
    <n v="-19"/>
    <n v="9.858963614854846E-3"/>
    <n v="492"/>
  </r>
  <r>
    <x v="654"/>
    <d v="1905-07-12T00:00:00"/>
    <x v="7"/>
    <n v="505.45001200000002"/>
    <n v="508.290009"/>
    <n v="486.67999300000002"/>
    <n v="494.73001099999999"/>
    <n v="494.73001099999999"/>
    <n v="-10.720001000000025"/>
    <n v="5910300"/>
    <n v="-4.98154981549815E-2"/>
    <n v="-27"/>
    <n v="-2.1208825295269802E-2"/>
    <n v="542"/>
  </r>
  <r>
    <x v="655"/>
    <d v="1905-07-12T00:00:00"/>
    <x v="7"/>
    <n v="493.35000600000001"/>
    <n v="497.459991"/>
    <n v="478.63000499999998"/>
    <n v="483.38000499999998"/>
    <n v="483.38000499999998"/>
    <n v="-9.9700010000000248"/>
    <n v="4691200"/>
    <n v="-3.6781609195402298E-2"/>
    <n v="-16"/>
    <n v="-2.0208778511700321E-2"/>
    <n v="435"/>
  </r>
  <r>
    <x v="656"/>
    <d v="1905-07-12T00:00:00"/>
    <x v="7"/>
    <n v="479.75"/>
    <n v="480.92001299999998"/>
    <n v="466.54998799999998"/>
    <n v="466.92999300000002"/>
    <n v="466.92999300000002"/>
    <n v="-12.820006999999976"/>
    <n v="7329200"/>
    <n v="-4.9916805324459197E-2"/>
    <n v="-30"/>
    <n v="-2.6722265763418396E-2"/>
    <n v="601"/>
  </r>
  <r>
    <x v="657"/>
    <d v="1905-07-12T00:00:00"/>
    <x v="7"/>
    <n v="471.33999599999999"/>
    <n v="482.48998999999998"/>
    <n v="470.17999300000002"/>
    <n v="475.47000100000002"/>
    <n v="475.47000100000002"/>
    <n v="4.1300050000000397"/>
    <n v="5439200"/>
    <n v="-3.7931034482758599E-2"/>
    <n v="-22"/>
    <n v="8.762262984361802E-3"/>
    <n v="580"/>
  </r>
  <r>
    <x v="658"/>
    <d v="1905-07-12T00:00:00"/>
    <x v="7"/>
    <n v="478.39999399999999"/>
    <n v="484.45001200000002"/>
    <n v="476.45001200000002"/>
    <n v="481.32998700000002"/>
    <n v="481.32998700000002"/>
    <n v="2.9299930000000245"/>
    <n v="3008900"/>
    <n v="-2.6373626373626301E-2"/>
    <n v="-12"/>
    <n v="6.1245673845054952E-3"/>
    <n v="455"/>
  </r>
  <r>
    <x v="659"/>
    <d v="1905-07-12T00:00:00"/>
    <x v="7"/>
    <n v="482.82000699999998"/>
    <n v="488.32998700000002"/>
    <n v="480.209991"/>
    <n v="482.67999300000002"/>
    <n v="482.67999300000002"/>
    <n v="-0.14001399999995101"/>
    <n v="2943500"/>
    <n v="-5.2896725440806001E-2"/>
    <n v="-21"/>
    <n v="-2.8999212536764453E-4"/>
    <n v="397"/>
  </r>
  <r>
    <x v="660"/>
    <d v="1905-07-12T00:00:00"/>
    <x v="7"/>
    <n v="484.19000199999999"/>
    <n v="486.23998999999998"/>
    <n v="479.10000600000001"/>
    <n v="482.35000600000001"/>
    <n v="482.35000600000001"/>
    <n v="-1.8399959999999851"/>
    <n v="2423500"/>
    <n v="-3.3816425120772903E-2"/>
    <n v="-14"/>
    <n v="-3.8001528168687486E-3"/>
    <n v="414"/>
  </r>
  <r>
    <x v="661"/>
    <d v="1905-07-12T00:00:00"/>
    <x v="7"/>
    <n v="484.35000600000001"/>
    <n v="495.29998799999998"/>
    <n v="482.79998799999998"/>
    <n v="491.86999500000002"/>
    <n v="491.86999500000002"/>
    <n v="7.5199890000000096"/>
    <n v="3505500"/>
    <n v="-4.3243243243243197E-2"/>
    <n v="-24"/>
    <n v="1.552593972714849E-2"/>
    <n v="555"/>
  </r>
  <r>
    <x v="662"/>
    <d v="1905-07-12T00:00:00"/>
    <x v="7"/>
    <n v="493.92999300000002"/>
    <n v="494.5"/>
    <n v="483.5"/>
    <n v="484.52999899999998"/>
    <n v="484.52999899999998"/>
    <n v="-9.3999940000000493"/>
    <n v="3156200"/>
    <n v="-5.4054054054054002E-2"/>
    <n v="-28"/>
    <n v="-1.9031024908827614E-2"/>
    <n v="518"/>
  </r>
  <r>
    <x v="663"/>
    <d v="1905-07-12T00:00:00"/>
    <x v="7"/>
    <n v="484.69000199999999"/>
    <n v="498.94000199999999"/>
    <n v="483.89001500000001"/>
    <n v="497.89999399999999"/>
    <n v="497.89999399999999"/>
    <n v="13.209992"/>
    <n v="5132500"/>
    <n v="-3.0534351145038101E-2"/>
    <n v="-16"/>
    <n v="2.7254517207887446E-2"/>
    <n v="524"/>
  </r>
  <r>
    <x v="664"/>
    <d v="1905-07-12T00:00:00"/>
    <x v="7"/>
    <n v="496.459991"/>
    <n v="498.13000499999998"/>
    <n v="490"/>
    <n v="492.30999800000001"/>
    <n v="492.30999800000001"/>
    <n v="-4.1499929999999949"/>
    <n v="3921300"/>
    <n v="-7.1283095723014195E-2"/>
    <n v="-35"/>
    <n v="-8.3591690674626688E-3"/>
    <n v="491"/>
  </r>
  <r>
    <x v="665"/>
    <d v="1905-07-12T00:00:00"/>
    <x v="7"/>
    <n v="495.44000199999999"/>
    <n v="501"/>
    <n v="483.16000400000001"/>
    <n v="488.80999800000001"/>
    <n v="488.80999800000001"/>
    <n v="-6.6300039999999854"/>
    <n v="4762200"/>
    <n v="-6.2634989200863897E-2"/>
    <n v="-29"/>
    <n v="-1.3382052263111337E-2"/>
    <n v="463"/>
  </r>
  <r>
    <x v="666"/>
    <d v="1905-07-12T00:00:00"/>
    <x v="7"/>
    <n v="488.19000199999999"/>
    <n v="492.47000100000002"/>
    <n v="485.08999599999999"/>
    <n v="490.57998700000002"/>
    <n v="490.57998700000002"/>
    <n v="2.3899850000000242"/>
    <n v="5727700"/>
    <n v="-6.0344827586206899E-2"/>
    <n v="-28"/>
    <n v="4.8956041504512916E-3"/>
    <n v="464"/>
  </r>
  <r>
    <x v="667"/>
    <d v="1905-07-12T00:00:00"/>
    <x v="7"/>
    <n v="492.5"/>
    <n v="549.03997800000002"/>
    <n v="492.07998700000002"/>
    <n v="547.53002900000001"/>
    <n v="547.53002900000001"/>
    <n v="55.030029000000013"/>
    <n v="20373700"/>
    <n v="4.6326935804102999E-3"/>
    <n v="7"/>
    <n v="0.11173609949238582"/>
    <n v="1511"/>
  </r>
  <r>
    <x v="668"/>
    <d v="1905-07-12T00:00:00"/>
    <x v="7"/>
    <n v="537.78002900000001"/>
    <n v="541"/>
    <n v="521.25"/>
    <n v="526.27002000000005"/>
    <n v="526.27002000000005"/>
    <n v="-11.510008999999968"/>
    <n v="9062900"/>
    <n v="3.0211480362537001E-3"/>
    <n v="2"/>
    <n v="-2.1402819701956555E-2"/>
    <n v="662"/>
  </r>
  <r>
    <x v="669"/>
    <d v="1905-07-12T00:00:00"/>
    <x v="7"/>
    <n v="532"/>
    <n v="539"/>
    <n v="522"/>
    <n v="523.89001499999995"/>
    <n v="523.89001499999995"/>
    <n v="-8.1099850000000515"/>
    <n v="4417500"/>
    <n v="4.9382716049382004E-3"/>
    <n v="2"/>
    <n v="-1.5244332706767014E-2"/>
    <n v="405"/>
  </r>
  <r>
    <x v="670"/>
    <d v="1905-07-12T00:00:00"/>
    <x v="7"/>
    <n v="521.15997300000004"/>
    <n v="531.98999000000003"/>
    <n v="517.580017"/>
    <n v="529.55999799999995"/>
    <n v="529.55999799999995"/>
    <n v="8.4000249999999141"/>
    <n v="4941400"/>
    <n v="-1.7475728155339799E-2"/>
    <n v="-9"/>
    <n v="1.6117939663796692E-2"/>
    <n v="515"/>
  </r>
  <r>
    <x v="671"/>
    <d v="1905-07-12T00:00:00"/>
    <x v="8"/>
    <n v="532.59997599999997"/>
    <n v="557.39001499999995"/>
    <n v="532.45001200000002"/>
    <n v="556.54998799999998"/>
    <n v="556.54998799999998"/>
    <n v="23.950012000000015"/>
    <n v="9572700"/>
    <n v="3.5161744022503501E-2"/>
    <n v="25"/>
    <n v="4.4968105668859469E-2"/>
    <n v="711"/>
  </r>
  <r>
    <x v="672"/>
    <d v="1905-07-12T00:00:00"/>
    <x v="8"/>
    <n v="553.78002900000001"/>
    <n v="556.5"/>
    <n v="537.36999500000002"/>
    <n v="552.84002699999996"/>
    <n v="552.84002699999996"/>
    <n v="-0.94000200000004952"/>
    <n v="5886900"/>
    <n v="-3.9711191335739998E-2"/>
    <n v="-22"/>
    <n v="-1.6974284928574944E-3"/>
    <n v="554"/>
  </r>
  <r>
    <x v="673"/>
    <d v="1905-07-12T00:00:00"/>
    <x v="8"/>
    <n v="545"/>
    <n v="554"/>
    <n v="521.32000700000003"/>
    <n v="525.75"/>
    <n v="525.75"/>
    <n v="-19.25"/>
    <n v="9071100"/>
    <n v="-0.151898734177215"/>
    <n v="-72"/>
    <n v="-3.5321100917431195E-2"/>
    <n v="474"/>
  </r>
  <r>
    <x v="674"/>
    <d v="1905-07-12T00:00:00"/>
    <x v="8"/>
    <n v="520.17999299999997"/>
    <n v="527.35998500000005"/>
    <n v="485.98001099999999"/>
    <n v="516.04998799999998"/>
    <n v="516.04998799999998"/>
    <n v="-4.1300049999999828"/>
    <n v="8270100"/>
    <n v="-6.31808278867102E-2"/>
    <n v="-29"/>
    <n v="-7.9395691021895629E-3"/>
    <n v="459"/>
  </r>
  <r>
    <x v="675"/>
    <d v="1905-07-12T00:00:00"/>
    <x v="8"/>
    <n v="498.39999399999999"/>
    <n v="522"/>
    <n v="495"/>
    <n v="507.01998900000001"/>
    <n v="507.01998900000001"/>
    <n v="8.6199950000000172"/>
    <n v="5572700"/>
    <n v="-2.5793650793650699E-2"/>
    <n v="-13"/>
    <n v="1.7295335280441471E-2"/>
    <n v="504"/>
  </r>
  <r>
    <x v="676"/>
    <d v="1905-07-12T00:00:00"/>
    <x v="8"/>
    <n v="519.21002199999998"/>
    <n v="520"/>
    <n v="492.57000699999998"/>
    <n v="500.19000199999999"/>
    <n v="500.19000199999999"/>
    <n v="-19.020019999999988"/>
    <n v="6848100"/>
    <n v="-8.9430894308942993E-2"/>
    <n v="-44"/>
    <n v="-3.6632613382027494E-2"/>
    <n v="492"/>
  </r>
  <r>
    <x v="677"/>
    <d v="1905-07-12T00:00:00"/>
    <x v="8"/>
    <n v="503.35000600000001"/>
    <n v="506.290009"/>
    <n v="478.83999599999999"/>
    <n v="480.67001299999998"/>
    <n v="480.67001299999998"/>
    <n v="-22.679993000000024"/>
    <n v="6240200"/>
    <n v="-0.237924865831842"/>
    <n v="-133"/>
    <n v="-4.5058096214664639E-2"/>
    <n v="559"/>
  </r>
  <r>
    <x v="678"/>
    <d v="1905-07-12T00:00:00"/>
    <x v="8"/>
    <n v="486.48998999999998"/>
    <n v="493.73001099999999"/>
    <n v="476.80999800000001"/>
    <n v="482.02999899999998"/>
    <n v="482.02999899999998"/>
    <n v="-4.4599910000000023"/>
    <n v="5035200"/>
    <n v="-0.25806451612903197"/>
    <n v="-112"/>
    <n v="-9.1676932551068568E-3"/>
    <n v="434"/>
  </r>
  <r>
    <x v="679"/>
    <d v="1905-07-12T00:00:00"/>
    <x v="8"/>
    <n v="480.61999500000002"/>
    <n v="488.98998999999998"/>
    <n v="471.29998799999998"/>
    <n v="476.26001000000002"/>
    <n v="476.26001000000002"/>
    <n v="-4.3599849999999947"/>
    <n v="7359100"/>
    <n v="-0.13171577123050199"/>
    <n v="-76"/>
    <n v="-9.0715847142397704E-3"/>
    <n v="577"/>
  </r>
  <r>
    <x v="680"/>
    <d v="1905-07-12T00:00:00"/>
    <x v="8"/>
    <n v="484"/>
    <n v="497.47000100000002"/>
    <n v="481.63000499999998"/>
    <n v="495.98998999999998"/>
    <n v="495.98998999999998"/>
    <n v="11.989989999999977"/>
    <n v="5337000"/>
    <n v="-7.6642335766423306E-2"/>
    <n v="-42"/>
    <n v="2.4772706611570203E-2"/>
    <n v="548"/>
  </r>
  <r>
    <x v="681"/>
    <d v="1905-07-12T00:00:00"/>
    <x v="8"/>
    <n v="499.98998999999998"/>
    <n v="504.66000400000001"/>
    <n v="483.30999800000001"/>
    <n v="483.85998499999999"/>
    <n v="483.85998499999999"/>
    <n v="-16.130004999999983"/>
    <n v="4394900"/>
    <n v="-0.11739130434782601"/>
    <n v="-54"/>
    <n v="-3.2260655858330253E-2"/>
    <n v="460"/>
  </r>
  <r>
    <x v="682"/>
    <d v="1905-07-12T00:00:00"/>
    <x v="8"/>
    <n v="475.16000400000001"/>
    <n v="478.39999399999999"/>
    <n v="463.26998900000001"/>
    <n v="470.20001200000002"/>
    <n v="470.20001200000002"/>
    <n v="-4.9599919999999997"/>
    <n v="5379300"/>
    <n v="-0.115207373271889"/>
    <n v="-50"/>
    <n v="-1.0438572182518964E-2"/>
    <n v="434"/>
  </r>
  <r>
    <x v="683"/>
    <d v="1905-07-12T00:00:00"/>
    <x v="8"/>
    <n v="472.51001000000002"/>
    <n v="479.39999399999999"/>
    <n v="458.60000600000001"/>
    <n v="469.959991"/>
    <n v="469.959991"/>
    <n v="-2.5500190000000202"/>
    <n v="6717700"/>
    <n v="-0.130023640661938"/>
    <n v="-55"/>
    <n v="-5.3967512772904432E-3"/>
    <n v="423"/>
  </r>
  <r>
    <x v="684"/>
    <d v="1905-07-12T00:00:00"/>
    <x v="8"/>
    <n v="467.69000199999999"/>
    <n v="487.77999899999998"/>
    <n v="466.32000699999998"/>
    <n v="487.35000600000001"/>
    <n v="487.35000600000001"/>
    <n v="19.660004000000015"/>
    <n v="5457500"/>
    <n v="-8.1168831168831099E-2"/>
    <n v="-50"/>
    <n v="4.2036399999844376E-2"/>
    <n v="616"/>
  </r>
  <r>
    <x v="685"/>
    <d v="1905-07-12T00:00:00"/>
    <x v="8"/>
    <n v="489.01001000000002"/>
    <n v="491.82000699999998"/>
    <n v="479.26001000000002"/>
    <n v="491.17001299999998"/>
    <n v="491.17001299999998"/>
    <n v="2.1600029999999606"/>
    <n v="3482300"/>
    <n v="-9.5238095238095004E-3"/>
    <n v="-4"/>
    <n v="4.4170936296374806E-3"/>
    <n v="420"/>
  </r>
  <r>
    <x v="686"/>
    <d v="1905-07-12T00:00:00"/>
    <x v="8"/>
    <n v="491.040009"/>
    <n v="491.040009"/>
    <n v="469"/>
    <n v="470.60998499999999"/>
    <n v="470.60998499999999"/>
    <n v="-20.430024000000003"/>
    <n v="3726400"/>
    <n v="-8.2429501084598705E-2"/>
    <n v="-38"/>
    <n v="-4.1605619960796314E-2"/>
    <n v="461"/>
  </r>
  <r>
    <x v="687"/>
    <d v="1905-07-12T00:00:00"/>
    <x v="8"/>
    <n v="470.52999899999998"/>
    <n v="477"/>
    <n v="467.82000699999998"/>
    <n v="473.07998700000002"/>
    <n v="473.07998700000002"/>
    <n v="2.5499880000000417"/>
    <n v="3727200"/>
    <n v="-5.39906103286385E-2"/>
    <n v="-23"/>
    <n v="5.41939516166756E-3"/>
    <n v="426"/>
  </r>
  <r>
    <x v="688"/>
    <d v="1905-07-12T00:00:00"/>
    <x v="8"/>
    <n v="474.39001500000001"/>
    <n v="484.86999500000002"/>
    <n v="468.02999899999998"/>
    <n v="482.88000499999998"/>
    <n v="482.88000499999998"/>
    <n v="8.4899899999999775"/>
    <n v="3769400"/>
    <n v="-7.4592074592074495E-2"/>
    <n v="-32"/>
    <n v="1.7896645653471391E-2"/>
    <n v="429"/>
  </r>
  <r>
    <x v="689"/>
    <d v="1905-07-12T00:00:00"/>
    <x v="8"/>
    <n v="489.10998499999999"/>
    <n v="492"/>
    <n v="477.88000499999998"/>
    <n v="490.64999399999999"/>
    <n v="490.64999399999999"/>
    <n v="1.5400089999999977"/>
    <n v="4773500"/>
    <n v="-5.2631578947368397E-2"/>
    <n v="-23"/>
    <n v="3.1485944822819303E-3"/>
    <n v="437"/>
  </r>
  <r>
    <x v="690"/>
    <d v="1905-07-12T00:00:00"/>
    <x v="8"/>
    <n v="489.5"/>
    <n v="496.290009"/>
    <n v="486.52999899999998"/>
    <n v="493.48001099999999"/>
    <n v="493.48001099999999"/>
    <n v="3.9800109999999904"/>
    <n v="3541500"/>
    <n v="-6.7099567099567103E-2"/>
    <n v="-31"/>
    <n v="8.13076813074564E-3"/>
    <n v="462"/>
  </r>
  <r>
    <x v="691"/>
    <d v="1905-07-12T00:00:00"/>
    <x v="8"/>
    <n v="492.57000699999998"/>
    <n v="504.63000499999998"/>
    <n v="489.26998900000001"/>
    <n v="500.02999899999998"/>
    <n v="500.02999899999998"/>
    <n v="7.4599919999999997"/>
    <n v="4634100"/>
    <n v="1.8711018711018702E-2"/>
    <n v="9"/>
    <n v="1.5145039068527776E-2"/>
    <n v="481"/>
  </r>
  <r>
    <x v="692"/>
    <d v="1905-07-12T00:00:00"/>
    <x v="9"/>
    <n v="506.02999899999998"/>
    <n v="529.54998799999998"/>
    <n v="503.60000600000001"/>
    <n v="527.51000999999997"/>
    <n v="527.51000999999997"/>
    <n v="21.48001099999999"/>
    <n v="8153700"/>
    <n v="1.40449438202247E-2"/>
    <n v="10"/>
    <n v="4.2448098022741909E-2"/>
    <n v="712"/>
  </r>
  <r>
    <x v="693"/>
    <d v="1905-07-12T00:00:00"/>
    <x v="9"/>
    <n v="516.42999299999997"/>
    <n v="526.36999500000002"/>
    <n v="502.70001200000002"/>
    <n v="503.05999800000001"/>
    <n v="503.05999800000001"/>
    <n v="-13.36999499999996"/>
    <n v="6071200"/>
    <n v="-3.3663366336633603E-2"/>
    <n v="-17"/>
    <n v="-2.5889268983647046E-2"/>
    <n v="505"/>
  </r>
  <r>
    <x v="694"/>
    <d v="1905-07-12T00:00:00"/>
    <x v="9"/>
    <n v="506.79998799999998"/>
    <n v="520.98999000000003"/>
    <n v="501.70001200000002"/>
    <n v="520.65002400000003"/>
    <n v="520.65002400000003"/>
    <n v="13.850036000000046"/>
    <n v="4088100"/>
    <n v="-2.0449897750510998E-3"/>
    <n v="-1"/>
    <n v="2.732840632979661E-2"/>
    <n v="489"/>
  </r>
  <r>
    <x v="695"/>
    <d v="1905-07-12T00:00:00"/>
    <x v="9"/>
    <n v="518.71997099999999"/>
    <n v="521.82000700000003"/>
    <n v="504.16000400000001"/>
    <n v="505.86999500000002"/>
    <n v="505.86999500000002"/>
    <n v="-12.84997599999997"/>
    <n v="4199000"/>
    <n v="-8.0708661417322802E-2"/>
    <n v="-41"/>
    <n v="-2.4772472082051321E-2"/>
    <n v="508"/>
  </r>
  <r>
    <x v="696"/>
    <d v="1905-07-12T00:00:00"/>
    <x v="9"/>
    <n v="518"/>
    <n v="536.48999000000003"/>
    <n v="515.82000700000003"/>
    <n v="534.65997300000004"/>
    <n v="534.65997300000004"/>
    <n v="16.659973000000036"/>
    <n v="7988700"/>
    <n v="-4.0524433849821198E-2"/>
    <n v="-34"/>
    <n v="3.2162110038610109E-2"/>
    <n v="839"/>
  </r>
  <r>
    <x v="697"/>
    <d v="1905-07-12T00:00:00"/>
    <x v="9"/>
    <n v="533.47997999999995"/>
    <n v="535"/>
    <n v="524.15002400000003"/>
    <n v="531.78997800000002"/>
    <n v="531.78997800000002"/>
    <n v="-1.6900019999999358"/>
    <n v="5386500"/>
    <n v="-8.1272084805653705E-2"/>
    <n v="-46"/>
    <n v="-3.1678827010526919E-3"/>
    <n v="566"/>
  </r>
  <r>
    <x v="698"/>
    <d v="1905-07-12T00:00:00"/>
    <x v="9"/>
    <n v="537.830017"/>
    <n v="544.28002900000001"/>
    <n v="535"/>
    <n v="539.44000200000005"/>
    <n v="539.44000200000005"/>
    <n v="1.6099850000000515"/>
    <n v="4781300"/>
    <n v="-2.4429967426710001E-2"/>
    <n v="-15"/>
    <n v="2.9934829762394083E-3"/>
    <n v="614"/>
  </r>
  <r>
    <x v="699"/>
    <d v="1905-07-12T00:00:00"/>
    <x v="9"/>
    <n v="548.80999799999995"/>
    <n v="551.80999799999995"/>
    <n v="538.23999000000003"/>
    <n v="539.80999799999995"/>
    <n v="539.80999799999995"/>
    <n v="-9"/>
    <n v="5391100"/>
    <n v="-6.7484662576687102E-2"/>
    <n v="-44"/>
    <n v="-1.6399118151633967E-2"/>
    <n v="652"/>
  </r>
  <r>
    <x v="700"/>
    <d v="1905-07-12T00:00:00"/>
    <x v="9"/>
    <n v="540.55999799999995"/>
    <n v="557.65002400000003"/>
    <n v="537.20001200000002"/>
    <n v="554.09002699999996"/>
    <n v="554.09002699999996"/>
    <n v="13.530029000000013"/>
    <n v="5602500"/>
    <n v="-6.3157894736842093E-2"/>
    <n v="-42"/>
    <n v="2.5029652675113437E-2"/>
    <n v="665"/>
  </r>
  <r>
    <x v="701"/>
    <d v="1905-07-12T00:00:00"/>
    <x v="9"/>
    <n v="562.60998500000005"/>
    <n v="572.48999000000003"/>
    <n v="541"/>
    <n v="541.45001200000002"/>
    <n v="541.45001200000002"/>
    <n v="-21.159973000000036"/>
    <n v="9499000"/>
    <n v="-4.5977011494252797E-2"/>
    <n v="-40"/>
    <n v="-3.76103758627747E-2"/>
    <n v="870"/>
  </r>
  <r>
    <x v="702"/>
    <d v="1905-07-12T00:00:00"/>
    <x v="9"/>
    <n v="545.52002000000005"/>
    <n v="551.21997099999999"/>
    <n v="535.09997599999997"/>
    <n v="541.94000200000005"/>
    <n v="541.94000200000005"/>
    <n v="-3.5800179999999955"/>
    <n v="5113100"/>
    <n v="-5.70613409415121E-2"/>
    <n v="-40"/>
    <n v="-6.56257858327545E-3"/>
    <n v="701"/>
  </r>
  <r>
    <x v="703"/>
    <d v="1905-07-12T00:00:00"/>
    <x v="9"/>
    <n v="549.5"/>
    <n v="554.330017"/>
    <n v="530.03002900000001"/>
    <n v="530.78997800000002"/>
    <n v="530.78997800000002"/>
    <n v="-18.710021999999981"/>
    <n v="6347400"/>
    <n v="-8.1521739130434E-3"/>
    <n v="-6"/>
    <n v="-3.4049175614194689E-2"/>
    <n v="736"/>
  </r>
  <r>
    <x v="704"/>
    <d v="1905-07-12T00:00:00"/>
    <x v="9"/>
    <n v="537.07000700000003"/>
    <n v="541.79998799999998"/>
    <n v="525.38000499999998"/>
    <n v="530.71997099999999"/>
    <n v="530.71997099999999"/>
    <n v="-6.3500360000000455"/>
    <n v="7567500"/>
    <n v="-1.51098901098901E-2"/>
    <n v="-11"/>
    <n v="-1.18234790944117E-2"/>
    <n v="728"/>
  </r>
  <r>
    <x v="705"/>
    <d v="1905-07-12T00:00:00"/>
    <x v="9"/>
    <n v="528.14001499999995"/>
    <n v="533.78002900000001"/>
    <n v="522.26000999999997"/>
    <n v="525.419983"/>
    <n v="525.419983"/>
    <n v="-2.7200319999999465"/>
    <n v="10047200"/>
    <n v="-0.11333333333333299"/>
    <n v="-221"/>
    <n v="-5.1502100252713229E-3"/>
    <n v="1950"/>
  </r>
  <r>
    <x v="706"/>
    <d v="1905-07-12T00:00:00"/>
    <x v="9"/>
    <n v="501.02999899999998"/>
    <n v="506.85000600000001"/>
    <n v="488.25"/>
    <n v="489.04998799999998"/>
    <n v="489.04998799999998"/>
    <n v="-11.98001099999999"/>
    <n v="17405700"/>
    <n v="-8.2134292565947203E-2"/>
    <n v="-137"/>
    <n v="-2.3910765870129049E-2"/>
    <n v="1668"/>
  </r>
  <r>
    <x v="707"/>
    <d v="1905-07-12T00:00:00"/>
    <x v="9"/>
    <n v="494.69000199999999"/>
    <n v="495.14001500000001"/>
    <n v="482"/>
    <n v="485.23001099999999"/>
    <n v="485.23001099999999"/>
    <n v="-9.4599910000000023"/>
    <n v="6997900"/>
    <n v="-5.74443141852286E-2"/>
    <n v="-49"/>
    <n v="-1.912306891538916E-2"/>
    <n v="853"/>
  </r>
  <r>
    <x v="708"/>
    <d v="1905-07-12T00:00:00"/>
    <x v="9"/>
    <n v="488.10998499999999"/>
    <n v="490.05999800000001"/>
    <n v="481.35000600000001"/>
    <n v="488.27999899999998"/>
    <n v="488.27999899999998"/>
    <n v="0.17001399999998057"/>
    <n v="4927900"/>
    <n v="-5.0531914893616997E-2"/>
    <n v="-38"/>
    <n v="3.4831084227867324E-4"/>
    <n v="752"/>
  </r>
  <r>
    <x v="709"/>
    <d v="1905-07-12T00:00:00"/>
    <x v="9"/>
    <n v="487.02999899999998"/>
    <n v="496.82000699999998"/>
    <n v="478.89999399999999"/>
    <n v="488.23998999999998"/>
    <n v="488.23998999999998"/>
    <n v="1.2099910000000023"/>
    <n v="6186100"/>
    <n v="-2.06185567010309E-2"/>
    <n v="-8"/>
    <n v="2.4844280690808174E-3"/>
    <n v="388"/>
  </r>
  <r>
    <x v="710"/>
    <d v="1905-07-12T00:00:00"/>
    <x v="9"/>
    <n v="490.01001000000002"/>
    <n v="490.48998999999998"/>
    <n v="482.92999300000002"/>
    <n v="488.92999300000002"/>
    <n v="488.92999300000002"/>
    <n v="-1.080016999999998"/>
    <n v="3627200"/>
    <n v="-5.8981233243967798E-2"/>
    <n v="-22"/>
    <n v="-2.2040713005026121E-3"/>
    <n v="373"/>
  </r>
  <r>
    <x v="711"/>
    <d v="1905-07-12T00:00:00"/>
    <x v="9"/>
    <n v="486.35998499999999"/>
    <n v="494"/>
    <n v="483.27999899999998"/>
    <n v="486.23998999999998"/>
    <n v="486.23998999999998"/>
    <n v="-0.11999500000001717"/>
    <n v="5992700"/>
    <n v="-6.9620253164556903E-2"/>
    <n v="-33"/>
    <n v="-2.4672054383753872E-4"/>
    <n v="474"/>
  </r>
  <r>
    <x v="712"/>
    <d v="1905-07-12T00:00:00"/>
    <x v="9"/>
    <n v="488.5"/>
    <n v="513.90002400000003"/>
    <n v="479.33999599999999"/>
    <n v="504.209991"/>
    <n v="504.209991"/>
    <n v="15.709991000000002"/>
    <n v="11120700"/>
    <n v="-3.2943676939426098E-2"/>
    <n v="-31"/>
    <n v="3.2159654042988747E-2"/>
    <n v="941"/>
  </r>
  <r>
    <x v="713"/>
    <d v="1905-07-12T00:00:00"/>
    <x v="9"/>
    <n v="502.01001000000002"/>
    <n v="505.88000499999998"/>
    <n v="472.209991"/>
    <n v="475.73998999999998"/>
    <n v="475.73998999999998"/>
    <n v="-26.270020000000045"/>
    <n v="7807900"/>
    <n v="-3.42960288808664E-2"/>
    <n v="-19"/>
    <n v="-5.2329673665272219E-2"/>
    <n v="554"/>
  </r>
  <r>
    <x v="714"/>
    <d v="1905-07-12T00:00:00"/>
    <x v="10"/>
    <n v="478.86999500000002"/>
    <n v="486.29998799999998"/>
    <n v="475"/>
    <n v="484.11999500000002"/>
    <n v="484.11999500000002"/>
    <n v="5.25"/>
    <n v="4408200"/>
    <n v="-0.114583333333333"/>
    <n v="-44"/>
    <n v="1.096330957215225E-2"/>
    <n v="384"/>
  </r>
  <r>
    <x v="715"/>
    <d v="1905-07-12T00:00:00"/>
    <x v="10"/>
    <n v="484.92999300000002"/>
    <n v="495.30999800000001"/>
    <n v="478.76001000000002"/>
    <n v="487.22000100000002"/>
    <n v="487.22000100000002"/>
    <n v="2.2900080000000003"/>
    <n v="3690200"/>
    <n v="-8.1911262798634796E-2"/>
    <n v="-24"/>
    <n v="4.7223476234846962E-3"/>
    <n v="293"/>
  </r>
  <r>
    <x v="716"/>
    <d v="1905-07-12T00:00:00"/>
    <x v="10"/>
    <n v="495.35998499999999"/>
    <n v="507.73001099999999"/>
    <n v="493.98001099999999"/>
    <n v="496.95001200000002"/>
    <n v="496.95001200000002"/>
    <n v="1.5900270000000205"/>
    <n v="5137300"/>
    <n v="-2.4922118380062301E-2"/>
    <n v="-8"/>
    <n v="3.2098414247166544E-3"/>
    <n v="321"/>
  </r>
  <r>
    <x v="717"/>
    <d v="1905-07-12T00:00:00"/>
    <x v="10"/>
    <n v="506.55999800000001"/>
    <n v="518.72997999999995"/>
    <n v="503.45001200000002"/>
    <n v="513.76000999999997"/>
    <n v="513.76000999999997"/>
    <n v="7.2000119999999583"/>
    <n v="5372800"/>
    <n v="-1.6E-2"/>
    <n v="-6"/>
    <n v="1.4213542380817757E-2"/>
    <n v="375"/>
  </r>
  <r>
    <x v="718"/>
    <d v="1905-07-12T00:00:00"/>
    <x v="10"/>
    <n v="515"/>
    <n v="515.21002199999998"/>
    <n v="502.51001000000002"/>
    <n v="514.72997999999995"/>
    <n v="514.72997999999995"/>
    <n v="-0.270020000000045"/>
    <n v="4236300"/>
    <n v="-3.8869257950529999E-2"/>
    <n v="-11"/>
    <n v="-5.2431067961173782E-4"/>
    <n v="283"/>
  </r>
  <r>
    <x v="719"/>
    <d v="1905-07-12T00:00:00"/>
    <x v="10"/>
    <n v="485.540009"/>
    <n v="495.85000600000001"/>
    <n v="467.26001000000002"/>
    <n v="470.5"/>
    <n v="470.5"/>
    <n v="-15.040008999999998"/>
    <n v="10419700"/>
    <n v="-9.2764378478664103E-2"/>
    <n v="-50"/>
    <n v="-3.0975838697568581E-2"/>
    <n v="539"/>
  </r>
  <r>
    <x v="720"/>
    <d v="1905-07-12T00:00:00"/>
    <x v="10"/>
    <n v="470.95001200000002"/>
    <n v="484.60000600000001"/>
    <n v="463.41000400000001"/>
    <n v="480.23998999999998"/>
    <n v="480.23998999999998"/>
    <n v="9.2899779999999623"/>
    <n v="8306100"/>
    <n v="-7.6446280991735505E-2"/>
    <n v="-37"/>
    <n v="1.9726038355000534E-2"/>
    <n v="484"/>
  </r>
  <r>
    <x v="721"/>
    <d v="1905-07-12T00:00:00"/>
    <x v="10"/>
    <n v="483"/>
    <n v="491.67999300000002"/>
    <n v="478.26001000000002"/>
    <n v="490.76001000000002"/>
    <n v="490.76001000000002"/>
    <n v="7.7600100000000225"/>
    <n v="5460500"/>
    <n v="-6.4039408866994996E-2"/>
    <n v="-26"/>
    <n v="1.6066273291925514E-2"/>
    <n v="406"/>
  </r>
  <r>
    <x v="722"/>
    <d v="1905-07-12T00:00:00"/>
    <x v="10"/>
    <n v="491"/>
    <n v="496.51998900000001"/>
    <n v="480.42999300000002"/>
    <n v="486.76998900000001"/>
    <n v="486.76998900000001"/>
    <n v="-4.2300109999999904"/>
    <n v="5063700"/>
    <n v="-6.7846607669616504E-2"/>
    <n v="-23"/>
    <n v="-8.6150936863543595E-3"/>
    <n v="339"/>
  </r>
  <r>
    <x v="723"/>
    <d v="1905-07-12T00:00:00"/>
    <x v="10"/>
    <n v="486.76998900000001"/>
    <n v="488.94000199999999"/>
    <n v="477.79998799999998"/>
    <n v="482.83999599999999"/>
    <n v="482.83999599999999"/>
    <n v="-3.9299930000000245"/>
    <n v="3002700"/>
    <n v="-9.1194968553459099E-2"/>
    <n v="-29"/>
    <n v="-8.0736140041698917E-3"/>
    <n v="318"/>
  </r>
  <r>
    <x v="724"/>
    <d v="1905-07-12T00:00:00"/>
    <x v="10"/>
    <n v="480"/>
    <n v="485.57998700000002"/>
    <n v="477.29998799999998"/>
    <n v="479.10000600000001"/>
    <n v="479.10000600000001"/>
    <n v="-0.89999399999999241"/>
    <n v="3953600"/>
    <n v="-7.7738515901059999E-2"/>
    <n v="-22"/>
    <n v="-1.8749874999999842E-3"/>
    <n v="283"/>
  </r>
  <r>
    <x v="725"/>
    <d v="1905-07-12T00:00:00"/>
    <x v="10"/>
    <n v="480.11999500000002"/>
    <n v="487.51001000000002"/>
    <n v="478.85000600000001"/>
    <n v="480.63000499999998"/>
    <n v="480.63000499999998"/>
    <n v="0.51000999999996566"/>
    <n v="3698100"/>
    <n v="-5.0359712230215799E-2"/>
    <n v="-14"/>
    <n v="1.0622552805782763E-3"/>
    <n v="278"/>
  </r>
  <r>
    <x v="726"/>
    <d v="1905-07-12T00:00:00"/>
    <x v="10"/>
    <n v="481.95001200000002"/>
    <n v="488.60998499999999"/>
    <n v="477.72000100000002"/>
    <n v="481.790009"/>
    <n v="481.790009"/>
    <n v="-0.16000300000001744"/>
    <n v="3629200"/>
    <n v="-4.0579710144927499E-2"/>
    <n v="-14"/>
    <n v="-3.3199086215608898E-4"/>
    <n v="345"/>
  </r>
  <r>
    <x v="727"/>
    <d v="1905-07-12T00:00:00"/>
    <x v="10"/>
    <n v="482"/>
    <n v="487.79998799999998"/>
    <n v="480.47000100000002"/>
    <n v="484.67001299999998"/>
    <n v="484.67001299999998"/>
    <n v="2.6700129999999831"/>
    <n v="2254700"/>
    <n v="-4.0133779264213999E-2"/>
    <n v="-12"/>
    <n v="5.5394460580912514E-3"/>
    <n v="299"/>
  </r>
  <r>
    <x v="728"/>
    <d v="1905-07-12T00:00:00"/>
    <x v="10"/>
    <n v="485.22000100000002"/>
    <n v="494.76001000000002"/>
    <n v="481.57000699999998"/>
    <n v="488.23998999999998"/>
    <n v="488.23998999999998"/>
    <n v="3.0199889999999527"/>
    <n v="4253400"/>
    <n v="-4.0404040404040401E-2"/>
    <n v="-20"/>
    <n v="6.2239581916985996E-3"/>
    <n v="495"/>
  </r>
  <r>
    <x v="729"/>
    <d v="1905-07-12T00:00:00"/>
    <x v="10"/>
    <n v="490.459991"/>
    <n v="491.14999399999999"/>
    <n v="475.83999599999999"/>
    <n v="476.61999500000002"/>
    <n v="476.61999500000002"/>
    <n v="-13.839995999999985"/>
    <n v="5416600"/>
    <n v="-2.3041474654377E-3"/>
    <n v="-1"/>
    <n v="-2.8218399571760349E-2"/>
    <n v="434"/>
  </r>
  <r>
    <x v="730"/>
    <d v="1905-07-12T00:00:00"/>
    <x v="10"/>
    <n v="478.83999599999999"/>
    <n v="484.04998799999998"/>
    <n v="475.89001500000001"/>
    <n v="482.88000499999998"/>
    <n v="482.88000499999998"/>
    <n v="4.0400089999999977"/>
    <n v="3550500"/>
    <n v="-2.0512820512820499E-2"/>
    <n v="-8"/>
    <n v="8.4370750850979413E-3"/>
    <n v="390"/>
  </r>
  <r>
    <x v="731"/>
    <d v="1905-07-12T00:00:00"/>
    <x v="10"/>
    <n v="485.13000499999998"/>
    <n v="486.89999399999999"/>
    <n v="478.92001299999998"/>
    <n v="485"/>
    <n v="485"/>
    <n v="-0.13000499999998283"/>
    <n v="3598600"/>
    <n v="-1.8633540372670801E-2"/>
    <n v="-6"/>
    <n v="-2.6797971401497383E-4"/>
    <n v="322"/>
  </r>
  <r>
    <x v="732"/>
    <d v="1905-07-12T00:00:00"/>
    <x v="10"/>
    <n v="486.57998700000002"/>
    <n v="493.25"/>
    <n v="481.85000600000001"/>
    <n v="491.35998499999999"/>
    <n v="491.35998499999999"/>
    <n v="4.7799979999999778"/>
    <n v="2805800"/>
    <n v="3.9370078740157403E-2"/>
    <n v="10"/>
    <n v="9.8236633805491424E-3"/>
    <n v="254"/>
  </r>
  <r>
    <x v="733"/>
    <d v="1905-07-12T00:00:00"/>
    <x v="10"/>
    <n v="490.07998700000002"/>
    <n v="492.54998799999998"/>
    <n v="481.26998900000001"/>
    <n v="490.70001200000002"/>
    <n v="490.70001200000002"/>
    <n v="0.62002499999999827"/>
    <n v="3530900"/>
    <n v="1.8633540372670801E-2"/>
    <n v="6"/>
    <n v="1.2651506212188956E-3"/>
    <n v="322"/>
  </r>
  <r>
    <x v="734"/>
    <d v="1905-07-12T00:00:00"/>
    <x v="11"/>
    <n v="492.33999599999999"/>
    <n v="509.47000100000002"/>
    <n v="491.98001099999999"/>
    <n v="504.57998700000002"/>
    <n v="504.57998700000002"/>
    <n v="12.239991000000032"/>
    <n v="5052700"/>
    <n v="7.5630252100840303E-2"/>
    <n v="45"/>
    <n v="2.4860850427435174E-2"/>
    <n v="595"/>
  </r>
  <r>
    <x v="735"/>
    <d v="1905-07-12T00:00:00"/>
    <x v="11"/>
    <n v="501.61999500000002"/>
    <n v="506.79998799999998"/>
    <n v="493.5"/>
    <n v="503.38000499999998"/>
    <n v="503.38000499999998"/>
    <n v="1.7600099999999657"/>
    <n v="3028400"/>
    <n v="-4.56730769230769E-2"/>
    <n v="-19"/>
    <n v="3.5086520025980335E-3"/>
    <n v="416"/>
  </r>
  <r>
    <x v="736"/>
    <d v="1905-07-12T00:00:00"/>
    <x v="11"/>
    <n v="502.98998999999998"/>
    <n v="508.76998900000001"/>
    <n v="496.040009"/>
    <n v="497.51998900000001"/>
    <n v="497.51998900000001"/>
    <n v="-5.4700009999999679"/>
    <n v="2826100"/>
    <n v="-6.8010075566750594E-2"/>
    <n v="-27"/>
    <n v="-1.0874969897512212E-2"/>
    <n v="397"/>
  </r>
  <r>
    <x v="737"/>
    <d v="1905-07-12T00:00:00"/>
    <x v="11"/>
    <n v="497.5"/>
    <n v="504.5"/>
    <n v="493.64001500000001"/>
    <n v="498.30999800000001"/>
    <n v="498.30999800000001"/>
    <n v="0.80999800000000732"/>
    <n v="3666200"/>
    <n v="-5.7788944723618001E-2"/>
    <n v="-23"/>
    <n v="1.6281366834171001E-3"/>
    <n v="398"/>
  </r>
  <r>
    <x v="738"/>
    <d v="1905-07-12T00:00:00"/>
    <x v="11"/>
    <n v="500.01001000000002"/>
    <n v="517.76000999999997"/>
    <n v="497.76998900000001"/>
    <n v="515.78002900000001"/>
    <n v="515.78002900000001"/>
    <n v="15.770018999999991"/>
    <n v="4289300"/>
    <n v="1.6014234875444799E-2"/>
    <n v="9"/>
    <n v="3.1539406581080225E-2"/>
    <n v="562"/>
  </r>
  <r>
    <x v="739"/>
    <d v="1905-07-12T00:00:00"/>
    <x v="11"/>
    <n v="517.90002400000003"/>
    <n v="521.48999000000003"/>
    <n v="505.54998799999998"/>
    <n v="512.65997300000004"/>
    <n v="512.65997300000004"/>
    <n v="-5.240050999999994"/>
    <n v="4229000"/>
    <n v="-3.5242290748898598E-2"/>
    <n v="-16"/>
    <n v="-1.0117881361596526E-2"/>
    <n v="454"/>
  </r>
  <r>
    <x v="740"/>
    <d v="1905-07-12T00:00:00"/>
    <x v="11"/>
    <n v="510.52999899999998"/>
    <n v="514.5"/>
    <n v="491.290009"/>
    <n v="493.60000600000001"/>
    <n v="493.60000600000001"/>
    <n v="-16.929992999999968"/>
    <n v="4178800"/>
    <n v="-8.43373493975903E-2"/>
    <n v="-35"/>
    <n v="-3.3161602713183497E-2"/>
    <n v="415"/>
  </r>
  <r>
    <x v="741"/>
    <d v="1905-07-12T00:00:00"/>
    <x v="11"/>
    <n v="494.55999800000001"/>
    <n v="503.76998900000001"/>
    <n v="492.91000400000001"/>
    <n v="501.08999599999999"/>
    <n v="501.08999599999999"/>
    <n v="6.5299979999999778"/>
    <n v="3018200"/>
    <n v="-6.1503416856492001E-2"/>
    <n v="-27"/>
    <n v="1.3203651784226951E-2"/>
    <n v="439"/>
  </r>
  <r>
    <x v="742"/>
    <d v="1905-07-12T00:00:00"/>
    <x v="11"/>
    <n v="495"/>
    <n v="503.33999599999999"/>
    <n v="494.85000600000001"/>
    <n v="503.22000100000002"/>
    <n v="503.22000100000002"/>
    <n v="8.2200010000000248"/>
    <n v="3210900"/>
    <n v="-5.9426229508196697E-2"/>
    <n v="-29"/>
    <n v="1.6606062626262675E-2"/>
    <n v="488"/>
  </r>
  <r>
    <x v="743"/>
    <d v="1905-07-12T00:00:00"/>
    <x v="11"/>
    <n v="505.44000199999999"/>
    <n v="524.15997300000004"/>
    <n v="501.17999300000002"/>
    <n v="522.419983"/>
    <n v="522.419983"/>
    <n v="16.979981000000009"/>
    <n v="5770400"/>
    <n v="0"/>
    <n v="0"/>
    <n v="3.3594454203883947E-2"/>
    <n v="457"/>
  </r>
  <r>
    <x v="744"/>
    <d v="1905-07-12T00:00:00"/>
    <x v="11"/>
    <n v="518.5"/>
    <n v="524.70001200000002"/>
    <n v="513.55999799999995"/>
    <n v="519.78002900000001"/>
    <n v="519.78002900000001"/>
    <n v="1.2800290000000132"/>
    <n v="3394900"/>
    <n v="7.9575596816976006E-3"/>
    <n v="3"/>
    <n v="2.4687155255545094E-3"/>
    <n v="377"/>
  </r>
  <r>
    <x v="745"/>
    <d v="1905-07-12T00:00:00"/>
    <x v="11"/>
    <n v="520.10998500000005"/>
    <n v="527.38000499999998"/>
    <n v="517.69000200000005"/>
    <n v="524.830017"/>
    <n v="524.830017"/>
    <n v="4.7200319999999465"/>
    <n v="3682400"/>
    <n v="-3.24324324324324E-2"/>
    <n v="-12"/>
    <n v="9.0750651518446551E-3"/>
    <n v="370"/>
  </r>
  <r>
    <x v="746"/>
    <d v="1905-07-12T00:00:00"/>
    <x v="11"/>
    <n v="529"/>
    <n v="535.48999000000003"/>
    <n v="526.44000200000005"/>
    <n v="532.90002400000003"/>
    <n v="532.90002400000003"/>
    <n v="3.9000240000000304"/>
    <n v="3193400"/>
    <n v="-2.0547945205479399E-2"/>
    <n v="-9"/>
    <n v="7.3724461247637622E-3"/>
    <n v="438"/>
  </r>
  <r>
    <x v="747"/>
    <d v="1905-07-12T00:00:00"/>
    <x v="11"/>
    <n v="533.20001200000002"/>
    <n v="536.36999500000002"/>
    <n v="526.02002000000005"/>
    <n v="534.45001200000002"/>
    <n v="534.45001200000002"/>
    <n v="1.25"/>
    <n v="4502700"/>
    <n v="-2.33333333333333E-2"/>
    <n v="-7"/>
    <n v="2.3443360312602542E-3"/>
    <n v="300"/>
  </r>
  <r>
    <x v="748"/>
    <d v="1905-07-12T00:00:00"/>
    <x v="11"/>
    <n v="530.04998799999998"/>
    <n v="532.61999500000002"/>
    <n v="521.15002400000003"/>
    <n v="528.90997300000004"/>
    <n v="528.90997300000004"/>
    <n v="-1.1400149999999485"/>
    <n v="3894000"/>
    <n v="-4.6099290780141799E-2"/>
    <n v="-13"/>
    <n v="-2.1507688440886232E-3"/>
    <n v="282"/>
  </r>
  <r>
    <x v="749"/>
    <d v="1905-07-12T00:00:00"/>
    <x v="11"/>
    <n v="527.69000200000005"/>
    <n v="530.40002400000003"/>
    <n v="520.5"/>
    <n v="527.330017"/>
    <n v="527.330017"/>
    <n v="-0.35998500000005151"/>
    <n v="1906600"/>
    <n v="-5.7239057239057201E-2"/>
    <n v="-17"/>
    <n v="-6.8219029853829115E-4"/>
    <n v="297"/>
  </r>
  <r>
    <x v="750"/>
    <d v="1905-07-12T00:00:00"/>
    <x v="11"/>
    <n v="524.76000999999997"/>
    <n v="526.32000700000003"/>
    <n v="514.20001200000002"/>
    <n v="514.47997999999995"/>
    <n v="514.47997999999995"/>
    <n v="-10.280030000000011"/>
    <n v="2393200"/>
    <n v="-9.2857142857142805E-2"/>
    <n v="-26"/>
    <n v="-1.9589964563039037E-2"/>
    <n v="280"/>
  </r>
  <r>
    <x v="751"/>
    <d v="1905-07-12T00:00:00"/>
    <x v="11"/>
    <n v="515.11999500000002"/>
    <n v="519.34997599999997"/>
    <n v="512.21002199999998"/>
    <n v="513.96997099999999"/>
    <n v="513.96997099999999"/>
    <n v="-1.1500240000000304"/>
    <n v="1144000"/>
    <n v="-7.6433121019108194E-2"/>
    <n v="-12"/>
    <n v="-2.2325361297614362E-3"/>
    <n v="157"/>
  </r>
  <r>
    <x v="752"/>
    <d v="1905-07-12T00:00:00"/>
    <x v="11"/>
    <n v="516.42999299999997"/>
    <n v="523.65997300000004"/>
    <n v="507.13000499999998"/>
    <n v="519.11999500000002"/>
    <n v="519.11999500000002"/>
    <n v="2.6900020000000495"/>
    <n v="2891900"/>
    <n v="2.7210884353741398E-2"/>
    <n v="8"/>
    <n v="5.2088415399220425E-3"/>
    <n v="294"/>
  </r>
  <r>
    <x v="753"/>
    <d v="1905-07-12T00:00:00"/>
    <x v="11"/>
    <n v="519.90002400000003"/>
    <n v="536.54998799999998"/>
    <n v="515.47997999999995"/>
    <n v="530.86999500000002"/>
    <n v="530.86999500000002"/>
    <n v="10.969970999999987"/>
    <n v="4022400"/>
    <n v="2.1531100478468901E-2"/>
    <n v="9"/>
    <n v="2.1100154825151509E-2"/>
    <n v="418"/>
  </r>
  <r>
    <x v="754"/>
    <d v="1905-07-12T00:00:00"/>
    <x v="11"/>
    <n v="530.13000499999998"/>
    <n v="533.26000999999997"/>
    <n v="523.69000200000005"/>
    <n v="524.59002699999996"/>
    <n v="524.59002699999996"/>
    <n v="-5.5399780000000192"/>
    <n v="1876300"/>
    <n v="-5.6105610561056098E-2"/>
    <n v="-17"/>
    <n v="-1.0450225317844477E-2"/>
    <n v="303"/>
  </r>
  <r>
    <x v="755"/>
    <d v="1905-07-12T00:00:00"/>
    <x v="11"/>
    <n v="525.53002900000001"/>
    <n v="545.5"/>
    <n v="523.15002400000003"/>
    <n v="540.72997999999995"/>
    <n v="540.72997999999995"/>
    <n v="15.199950999999942"/>
    <n v="5392300"/>
    <n v="3.1390134529147899E-2"/>
    <n v="14"/>
    <n v="2.8923087475939347E-2"/>
    <n v="446"/>
  </r>
  <r>
    <x v="756"/>
    <d v="1905-07-13T00:00:00"/>
    <x v="0"/>
    <n v="539"/>
    <n v="540.79998799999998"/>
    <n v="515.09002699999996"/>
    <n v="522.85998500000005"/>
    <n v="522.85998500000005"/>
    <n v="-16.140014999999948"/>
    <n v="4444400"/>
    <n v="-4.1763341067285298E-2"/>
    <n v="-18"/>
    <n v="-2.9944369202226248E-2"/>
    <n v="431"/>
  </r>
  <r>
    <x v="757"/>
    <d v="1905-07-13T00:00:00"/>
    <x v="0"/>
    <n v="521.54998799999998"/>
    <n v="526.78002900000001"/>
    <n v="515.89001499999995"/>
    <n v="520.79998799999998"/>
    <n v="520.79998799999998"/>
    <n v="-0.75"/>
    <n v="3133900"/>
    <n v="-7.6023391812865396E-2"/>
    <n v="-26"/>
    <n v="-1.4380213158014684E-3"/>
    <n v="342"/>
  </r>
  <r>
    <x v="758"/>
    <d v="1905-07-13T00:00:00"/>
    <x v="0"/>
    <n v="511.97000100000002"/>
    <n v="513.09997599999997"/>
    <n v="499.5"/>
    <n v="500.48998999999998"/>
    <n v="500.48998999999998"/>
    <n v="-11.480011000000047"/>
    <n v="5346200"/>
    <n v="-6.19047619047619E-2"/>
    <n v="-26"/>
    <n v="-2.2423210300558306E-2"/>
    <n v="420"/>
  </r>
  <r>
    <x v="759"/>
    <d v="1905-07-13T00:00:00"/>
    <x v="0"/>
    <n v="508.27999899999998"/>
    <n v="516.44000200000005"/>
    <n v="506.42001299999998"/>
    <n v="508.89001500000001"/>
    <n v="508.89001500000001"/>
    <n v="0.61001600000003009"/>
    <n v="3686400"/>
    <n v="-6.9182389937106903E-2"/>
    <n v="-22"/>
    <n v="1.2001573959238756E-3"/>
    <n v="318"/>
  </r>
  <r>
    <x v="760"/>
    <d v="1905-07-13T00:00:00"/>
    <x v="0"/>
    <n v="511.30999800000001"/>
    <n v="513.23999000000003"/>
    <n v="504.51001000000002"/>
    <n v="510.39999399999999"/>
    <n v="510.39999399999999"/>
    <n v="-0.91000400000001491"/>
    <n v="2973900"/>
    <n v="-1.06761565836298E-2"/>
    <n v="-3"/>
    <n v="-1.7797500607449786E-3"/>
    <n v="281"/>
  </r>
  <r>
    <x v="761"/>
    <d v="1905-07-13T00:00:00"/>
    <x v="0"/>
    <n v="507.83999599999999"/>
    <n v="510.73001099999999"/>
    <n v="497.95001200000002"/>
    <n v="499.10000600000001"/>
    <n v="499.10000600000001"/>
    <n v="-8.7399899999999775"/>
    <n v="3806200"/>
    <n v="-5.2805280528052799E-2"/>
    <n v="-16"/>
    <n v="-1.7210125371850345E-2"/>
    <n v="303"/>
  </r>
  <r>
    <x v="762"/>
    <d v="1905-07-13T00:00:00"/>
    <x v="0"/>
    <n v="500"/>
    <n v="501.08999599999999"/>
    <n v="485.67001299999998"/>
    <n v="494.25"/>
    <n v="494.25"/>
    <n v="-5.75"/>
    <n v="5990400"/>
    <n v="-5.1224944320712597E-2"/>
    <n v="-23"/>
    <n v="-1.15E-2"/>
    <n v="449"/>
  </r>
  <r>
    <x v="763"/>
    <d v="1905-07-13T00:00:00"/>
    <x v="0"/>
    <n v="495.5"/>
    <n v="512.34997599999997"/>
    <n v="493.01001000000002"/>
    <n v="507.790009"/>
    <n v="507.790009"/>
    <n v="12.290008999999998"/>
    <n v="5032100"/>
    <n v="-4.4345898004434E-3"/>
    <n v="-2"/>
    <n v="2.4803247225025221E-2"/>
    <n v="451"/>
  </r>
  <r>
    <x v="764"/>
    <d v="1905-07-13T00:00:00"/>
    <x v="0"/>
    <n v="507.35000600000001"/>
    <n v="514.5"/>
    <n v="499.57998700000002"/>
    <n v="500.85998499999999"/>
    <n v="500.85998499999999"/>
    <n v="-6.4900210000000129"/>
    <n v="4177400"/>
    <n v="0"/>
    <n v="0"/>
    <n v="-1.2791999454514667E-2"/>
    <n v="376"/>
  </r>
  <r>
    <x v="765"/>
    <d v="1905-07-13T00:00:00"/>
    <x v="0"/>
    <n v="500"/>
    <n v="506.32000699999998"/>
    <n v="495.10000600000001"/>
    <n v="497.98001099999999"/>
    <n v="497.98001099999999"/>
    <n v="-2.0199890000000096"/>
    <n v="5895800"/>
    <n v="-4.6647230320699701E-2"/>
    <n v="-16"/>
    <n v="-4.0399780000000196E-3"/>
    <n v="343"/>
  </r>
  <r>
    <x v="766"/>
    <d v="1905-07-13T00:00:00"/>
    <x v="0"/>
    <n v="501"/>
    <n v="509.25"/>
    <n v="493.540009"/>
    <n v="501.76998900000001"/>
    <n v="501.76998900000001"/>
    <n v="0.76998900000000958"/>
    <n v="12315800"/>
    <n v="9.1522157996146002E-3"/>
    <n v="19"/>
    <n v="1.5369041916167856E-3"/>
    <n v="2076"/>
  </r>
  <r>
    <x v="767"/>
    <d v="1905-07-13T00:00:00"/>
    <x v="0"/>
    <n v="565.419983"/>
    <n v="593.28997800000002"/>
    <n v="556.85998500000005"/>
    <n v="586.34002699999996"/>
    <n v="586.34002699999996"/>
    <n v="20.920043999999962"/>
    <n v="32637500"/>
    <n v="4.4588569112282102E-2"/>
    <n v="110"/>
    <n v="3.6999123888410507E-2"/>
    <n v="2467"/>
  </r>
  <r>
    <x v="768"/>
    <d v="1905-07-13T00:00:00"/>
    <x v="0"/>
    <n v="582.45001200000002"/>
    <n v="588.75"/>
    <n v="570.40002400000003"/>
    <n v="579.84002699999996"/>
    <n v="579.84002699999996"/>
    <n v="-2.6099850000000515"/>
    <n v="11802100"/>
    <n v="-1.17021276595744E-2"/>
    <n v="-11"/>
    <n v="-4.4810454909906521E-3"/>
    <n v="940"/>
  </r>
  <r>
    <x v="769"/>
    <d v="1905-07-13T00:00:00"/>
    <x v="0"/>
    <n v="582.09997599999997"/>
    <n v="583.98999000000003"/>
    <n v="564.34997599999997"/>
    <n v="565.169983"/>
    <n v="565.169983"/>
    <n v="-16.929992999999968"/>
    <n v="7550800"/>
    <n v="-2.56880733944954E-2"/>
    <n v="-14"/>
    <n v="-2.908433894180399E-2"/>
    <n v="545"/>
  </r>
  <r>
    <x v="770"/>
    <d v="1905-07-13T00:00:00"/>
    <x v="0"/>
    <n v="567"/>
    <n v="569.75"/>
    <n v="548.65002400000003"/>
    <n v="556.78002900000001"/>
    <n v="556.78002900000001"/>
    <n v="-10.219970999999987"/>
    <n v="7207300"/>
    <n v="-6.6937119675456305E-2"/>
    <n v="-33"/>
    <n v="-1.802464021164019E-2"/>
    <n v="493"/>
  </r>
  <r>
    <x v="771"/>
    <d v="1905-07-13T00:00:00"/>
    <x v="0"/>
    <n v="554.72997999999995"/>
    <n v="567.98999000000003"/>
    <n v="554.05999799999995"/>
    <n v="561.92999299999997"/>
    <n v="561.92999299999997"/>
    <n v="7.2000130000000127"/>
    <n v="5023800"/>
    <n v="-2.0576131687242798E-2"/>
    <n v="-10"/>
    <n v="1.2979311123584872E-2"/>
    <n v="486"/>
  </r>
  <r>
    <x v="772"/>
    <d v="1905-07-13T00:00:00"/>
    <x v="0"/>
    <n v="550.71002199999998"/>
    <n v="556.419983"/>
    <n v="515.72997999999995"/>
    <n v="523.28002900000001"/>
    <n v="523.28002900000001"/>
    <n v="-27.429992999999968"/>
    <n v="8670300"/>
    <n v="-6.7708333333333301E-2"/>
    <n v="-39"/>
    <n v="-4.9808414418141767E-2"/>
    <n v="576"/>
  </r>
  <r>
    <x v="773"/>
    <d v="1905-07-13T00:00:00"/>
    <x v="0"/>
    <n v="535.88000499999998"/>
    <n v="553.15002400000003"/>
    <n v="530.73999000000003"/>
    <n v="538.59997599999997"/>
    <n v="538.59997599999997"/>
    <n v="2.7199709999999868"/>
    <n v="5969000"/>
    <n v="-6.3636363636363602E-2"/>
    <n v="-28"/>
    <n v="5.0757090666220823E-3"/>
    <n v="440"/>
  </r>
  <r>
    <x v="774"/>
    <d v="1905-07-13T00:00:00"/>
    <x v="0"/>
    <n v="538"/>
    <n v="541"/>
    <n v="530.17999299999997"/>
    <n v="532.39001499999995"/>
    <n v="532.39001499999995"/>
    <n v="-5.6099850000000515"/>
    <n v="4325300"/>
    <n v="-0.10670731707316999"/>
    <n v="-35"/>
    <n v="-1.0427481412639501E-2"/>
    <n v="328"/>
  </r>
  <r>
    <x v="775"/>
    <d v="1905-07-13T00:00:00"/>
    <x v="1"/>
    <n v="536.78997800000002"/>
    <n v="545.05999799999995"/>
    <n v="531.72997999999995"/>
    <n v="539.03997800000002"/>
    <n v="539.03997800000002"/>
    <n v="2.25"/>
    <n v="3547500"/>
    <n v="-4.8387096774193498E-2"/>
    <n v="-15"/>
    <n v="4.191583472521538E-3"/>
    <n v="310"/>
  </r>
  <r>
    <x v="776"/>
    <d v="1905-07-13T00:00:00"/>
    <x v="1"/>
    <n v="542.01000999999997"/>
    <n v="555.47997999999995"/>
    <n v="538.92999299999997"/>
    <n v="548.15997300000004"/>
    <n v="548.15997300000004"/>
    <n v="6.1499630000000707"/>
    <n v="3767600"/>
    <n v="7.3891625615762997E-3"/>
    <n v="3"/>
    <n v="1.1346585647006909E-2"/>
    <n v="406"/>
  </r>
  <r>
    <x v="777"/>
    <d v="1905-07-13T00:00:00"/>
    <x v="1"/>
    <n v="550.169983"/>
    <n v="550.47997999999995"/>
    <n v="538.23999000000003"/>
    <n v="539.45001200000002"/>
    <n v="539.45001200000002"/>
    <n v="-10.719970999999987"/>
    <n v="3172300"/>
    <n v="-3.2573289902280002E-3"/>
    <n v="-1"/>
    <n v="-1.9484834380722633E-2"/>
    <n v="307"/>
  </r>
  <r>
    <x v="778"/>
    <d v="1905-07-13T00:00:00"/>
    <x v="1"/>
    <n v="539.80999799999995"/>
    <n v="559.47997999999995"/>
    <n v="537.51000999999997"/>
    <n v="552.15997300000004"/>
    <n v="552.15997300000004"/>
    <n v="12.349975000000086"/>
    <n v="5164500"/>
    <n v="-1.8691588785045999E-3"/>
    <n v="-1"/>
    <n v="2.28783739570531E-2"/>
    <n v="535"/>
  </r>
  <r>
    <x v="779"/>
    <d v="1905-07-13T00:00:00"/>
    <x v="1"/>
    <n v="552.26000999999997"/>
    <n v="554.44000200000005"/>
    <n v="545.47997999999995"/>
    <n v="550.78997800000002"/>
    <n v="550.78997800000002"/>
    <n v="-1.4700319999999465"/>
    <n v="2376200"/>
    <n v="-1.46520146520146E-2"/>
    <n v="-4"/>
    <n v="-2.6618476322411008E-3"/>
    <n v="273"/>
  </r>
  <r>
    <x v="780"/>
    <d v="1905-07-13T00:00:00"/>
    <x v="1"/>
    <n v="555"/>
    <n v="555"/>
    <n v="543.70001200000002"/>
    <n v="547.919983"/>
    <n v="547.919983"/>
    <n v="-7.080016999999998"/>
    <n v="2791700"/>
    <n v="2.5236593059936901E-2"/>
    <n v="8"/>
    <n v="-1.2756787387387385E-2"/>
    <n v="317"/>
  </r>
  <r>
    <x v="781"/>
    <d v="1905-07-13T00:00:00"/>
    <x v="1"/>
    <n v="546"/>
    <n v="566"/>
    <n v="543"/>
    <n v="559.07000700000003"/>
    <n v="559.07000700000003"/>
    <n v="13.070007000000032"/>
    <n v="3703500"/>
    <n v="4.5851528384279402E-2"/>
    <n v="21"/>
    <n v="2.3937741758241819E-2"/>
    <n v="458"/>
  </r>
  <r>
    <x v="782"/>
    <d v="1905-07-13T00:00:00"/>
    <x v="1"/>
    <n v="562.5"/>
    <n v="566.65002400000003"/>
    <n v="553.46002199999998"/>
    <n v="563.59002699999996"/>
    <n v="563.59002699999996"/>
    <n v="1.0900269999999637"/>
    <n v="3991300"/>
    <n v="3.9179104477611901E-2"/>
    <n v="21"/>
    <n v="1.9378257777777131E-3"/>
    <n v="536"/>
  </r>
  <r>
    <x v="783"/>
    <d v="1905-07-13T00:00:00"/>
    <x v="1"/>
    <n v="564.44000200000005"/>
    <n v="565.92999299999997"/>
    <n v="554.21997099999999"/>
    <n v="557.59002699999996"/>
    <n v="557.59002699999996"/>
    <n v="-6.8499750000000859"/>
    <n v="2730600"/>
    <n v="-3.34075723830735E-2"/>
    <n v="-15"/>
    <n v="-1.213587799540842E-2"/>
    <n v="449"/>
  </r>
  <r>
    <x v="784"/>
    <d v="1905-07-13T00:00:00"/>
    <x v="1"/>
    <n v="556.94000200000005"/>
    <n v="561.25"/>
    <n v="550.84997599999997"/>
    <n v="556.52002000000005"/>
    <n v="556.52002000000005"/>
    <n v="-0.41998200000000452"/>
    <n v="2197100"/>
    <n v="-3.1347962382445103E-2"/>
    <n v="-10"/>
    <n v="-7.5408840897013617E-4"/>
    <n v="319"/>
  </r>
  <r>
    <x v="785"/>
    <d v="1905-07-13T00:00:00"/>
    <x v="1"/>
    <n v="557.28997800000002"/>
    <n v="563.63000499999998"/>
    <n v="552.72997999999995"/>
    <n v="557.28002900000001"/>
    <n v="557.28002900000001"/>
    <n v="-9.9490000000059808E-3"/>
    <n v="2624100"/>
    <n v="-3.59281437125748E-2"/>
    <n v="-12"/>
    <n v="-1.785246531026973E-5"/>
    <n v="334"/>
  </r>
  <r>
    <x v="786"/>
    <d v="1905-07-13T00:00:00"/>
    <x v="1"/>
    <n v="550.98999000000003"/>
    <n v="555.25"/>
    <n v="543.03002900000001"/>
    <n v="551.34002699999996"/>
    <n v="551.34002699999996"/>
    <n v="0.35003699999992932"/>
    <n v="2069600"/>
    <n v="-2.6058631921824098E-2"/>
    <n v="-8"/>
    <n v="6.3528740331549277E-4"/>
    <n v="307"/>
  </r>
  <r>
    <x v="787"/>
    <d v="1905-07-13T00:00:00"/>
    <x v="1"/>
    <n v="549"/>
    <n v="550"/>
    <n v="538.22997999999995"/>
    <n v="548.21997099999999"/>
    <n v="548.21997099999999"/>
    <n v="-0.78002900000001318"/>
    <n v="2456200"/>
    <n v="-8.8803088803088806E-2"/>
    <n v="-23"/>
    <n v="-1.4208178506375467E-3"/>
    <n v="259"/>
  </r>
  <r>
    <x v="788"/>
    <d v="1905-07-13T00:00:00"/>
    <x v="1"/>
    <n v="548"/>
    <n v="548.98999000000003"/>
    <n v="538.80999799999995"/>
    <n v="540.21997099999999"/>
    <n v="540.21997099999999"/>
    <n v="-7.7800290000000132"/>
    <n v="2841500"/>
    <n v="-7.3800738007380004E-2"/>
    <n v="-20"/>
    <n v="-1.4197133211678856E-2"/>
    <n v="271"/>
  </r>
  <r>
    <x v="789"/>
    <d v="1905-07-13T00:00:00"/>
    <x v="1"/>
    <n v="534.98999000000003"/>
    <n v="541.78997800000002"/>
    <n v="530.78997800000002"/>
    <n v="533.78002900000001"/>
    <n v="533.78002900000001"/>
    <n v="-1.2099610000000212"/>
    <n v="3078600"/>
    <n v="-4.2168674698795101E-2"/>
    <n v="-14"/>
    <n v="-2.2616516619311344E-3"/>
    <n v="332"/>
  </r>
  <r>
    <x v="790"/>
    <d v="1905-07-13T00:00:00"/>
    <x v="1"/>
    <n v="525"/>
    <n v="548.53997800000002"/>
    <n v="518.28002900000001"/>
    <n v="546.15002400000003"/>
    <n v="546.15002400000003"/>
    <n v="21.15002400000003"/>
    <n v="4136500"/>
    <n v="1.42566191446028E-2"/>
    <n v="7"/>
    <n v="4.0285760000000059E-2"/>
    <n v="491"/>
  </r>
  <r>
    <x v="791"/>
    <d v="1905-07-13T00:00:00"/>
    <x v="1"/>
    <n v="539.79998799999998"/>
    <n v="556.84997599999997"/>
    <n v="539.07000700000003"/>
    <n v="553.40997300000004"/>
    <n v="553.40997300000004"/>
    <n v="13.609985000000052"/>
    <n v="3245000"/>
    <n v="-9.5846645367411998E-3"/>
    <n v="-3"/>
    <n v="2.5213014639785526E-2"/>
    <n v="313"/>
  </r>
  <r>
    <x v="792"/>
    <d v="1905-07-13T00:00:00"/>
    <x v="1"/>
    <n v="550.27002000000005"/>
    <n v="556.47997999999995"/>
    <n v="535.75"/>
    <n v="546.70001200000002"/>
    <n v="546.70001200000002"/>
    <n v="-3.5700080000000298"/>
    <n v="4252900"/>
    <n v="-0.11516853932584201"/>
    <n v="-41"/>
    <n v="-6.4877385106316158E-3"/>
    <n v="356"/>
  </r>
  <r>
    <x v="793"/>
    <d v="1905-07-13T00:00:00"/>
    <x v="1"/>
    <n v="546.51000999999997"/>
    <n v="553.09002699999996"/>
    <n v="538"/>
    <n v="538.84997599999997"/>
    <n v="538.84997599999997"/>
    <n v="-7.660033999999996"/>
    <n v="3755600"/>
    <n v="-7.3015873015873006E-2"/>
    <n v="-23"/>
    <n v="-1.4016273919667083E-2"/>
    <n v="315"/>
  </r>
  <r>
    <x v="794"/>
    <d v="1905-07-13T00:00:00"/>
    <x v="2"/>
    <n v="545.57000700000003"/>
    <n v="552.14001499999995"/>
    <n v="542"/>
    <n v="550.64001499999995"/>
    <n v="550.64001499999995"/>
    <n v="5.0700079999999161"/>
    <n v="3041400"/>
    <n v="-1.39372822299651E-2"/>
    <n v="-4"/>
    <n v="9.2930475190142105E-3"/>
    <n v="287"/>
  </r>
  <r>
    <x v="795"/>
    <d v="1905-07-13T00:00:00"/>
    <x v="2"/>
    <n v="553.34002699999996"/>
    <n v="556.98999000000003"/>
    <n v="546.02002000000005"/>
    <n v="547.82000700000003"/>
    <n v="547.82000700000003"/>
    <n v="-5.5200199999999313"/>
    <n v="3042200"/>
    <n v="3.5971223021581998E-3"/>
    <n v="1"/>
    <n v="-9.97581908167278E-3"/>
    <n v="278"/>
  </r>
  <r>
    <x v="796"/>
    <d v="1905-07-13T00:00:00"/>
    <x v="2"/>
    <n v="545.92999299999997"/>
    <n v="548.01000999999997"/>
    <n v="517.80999799999995"/>
    <n v="520.70001200000002"/>
    <n v="520.70001200000002"/>
    <n v="-25.229980999999952"/>
    <n v="5362400"/>
    <n v="-9.2307692307692299E-2"/>
    <n v="-36"/>
    <n v="-4.6214681961978143E-2"/>
    <n v="390"/>
  </r>
  <r>
    <x v="797"/>
    <d v="1905-07-13T00:00:00"/>
    <x v="2"/>
    <n v="521.5"/>
    <n v="531.5"/>
    <n v="507.67999300000002"/>
    <n v="511.290009"/>
    <n v="511.290009"/>
    <n v="-10.209991000000002"/>
    <n v="5034800"/>
    <n v="-4.5070422535211201E-2"/>
    <n v="-16"/>
    <n v="-1.9578122722914672E-2"/>
    <n v="355"/>
  </r>
  <r>
    <x v="798"/>
    <d v="1905-07-13T00:00:00"/>
    <x v="2"/>
    <n v="511.98001099999999"/>
    <n v="517.76000999999997"/>
    <n v="498.790009"/>
    <n v="516.39001499999995"/>
    <n v="516.39001499999995"/>
    <n v="4.4100039999999581"/>
    <n v="5070000"/>
    <n v="-5.0938337801608502E-2"/>
    <n v="-19"/>
    <n v="8.6136253471816859E-3"/>
    <n v="373"/>
  </r>
  <r>
    <x v="799"/>
    <d v="1905-07-13T00:00:00"/>
    <x v="2"/>
    <n v="514.46002199999998"/>
    <n v="518.84002699999996"/>
    <n v="492.85000600000001"/>
    <n v="493.32998700000002"/>
    <n v="493.32998700000002"/>
    <n v="-21.130034999999964"/>
    <n v="3981800"/>
    <n v="-9.4861660079051294E-2"/>
    <n v="-24"/>
    <n v="-4.1072258477647006E-2"/>
    <n v="253"/>
  </r>
  <r>
    <x v="800"/>
    <d v="1905-07-13T00:00:00"/>
    <x v="2"/>
    <n v="507.30999800000001"/>
    <n v="513.10998500000005"/>
    <n v="503.82000699999998"/>
    <n v="506.44000199999999"/>
    <n v="506.44000199999999"/>
    <n v="-0.86999600000001465"/>
    <n v="3470000"/>
    <n v="-8.0701754385964899E-2"/>
    <n v="-23"/>
    <n v="-1.7149198782398423E-3"/>
    <n v="285"/>
  </r>
  <r>
    <x v="801"/>
    <d v="1905-07-13T00:00:00"/>
    <x v="2"/>
    <n v="513.5"/>
    <n v="518.96997099999999"/>
    <n v="504.25"/>
    <n v="504.540009"/>
    <n v="504.540009"/>
    <n v="-8.9599910000000023"/>
    <n v="3771500"/>
    <n v="-3.1690140845070401E-2"/>
    <n v="-9"/>
    <n v="-1.7448862706913343E-2"/>
    <n v="284"/>
  </r>
  <r>
    <x v="802"/>
    <d v="1905-07-13T00:00:00"/>
    <x v="2"/>
    <n v="512.20001200000002"/>
    <n v="530.23999000000003"/>
    <n v="510.709991"/>
    <n v="523.05999799999995"/>
    <n v="523.05999799999995"/>
    <n v="10.859985999999935"/>
    <n v="4714500"/>
    <n v="-0.174840085287846"/>
    <n v="-82"/>
    <n v="2.1202627382991814E-2"/>
    <n v="469"/>
  </r>
  <r>
    <x v="803"/>
    <d v="1905-07-13T00:00:00"/>
    <x v="2"/>
    <n v="512.5"/>
    <n v="526.51000999999997"/>
    <n v="506.58999599999999"/>
    <n v="518.02002000000005"/>
    <n v="518.02002000000005"/>
    <n v="5.520020000000045"/>
    <n v="3981700"/>
    <n v="-0.13625304136253"/>
    <n v="-56"/>
    <n v="1.0770770731707405E-2"/>
    <n v="411"/>
  </r>
  <r>
    <x v="804"/>
    <d v="1905-07-13T00:00:00"/>
    <x v="2"/>
    <n v="516.32000700000003"/>
    <n v="520.72997999999995"/>
    <n v="508.02999899999998"/>
    <n v="520.25"/>
    <n v="520.25"/>
    <n v="3.9299929999999677"/>
    <n v="3484300"/>
    <n v="-4.3589743589743497E-2"/>
    <n v="-17"/>
    <n v="7.6115450625951963E-3"/>
    <n v="390"/>
  </r>
  <r>
    <x v="805"/>
    <d v="1905-07-13T00:00:00"/>
    <x v="2"/>
    <n v="524.46997099999999"/>
    <n v="533.419983"/>
    <n v="523.21002199999998"/>
    <n v="524.03002900000001"/>
    <n v="524.03002900000001"/>
    <n v="-0.43994199999997363"/>
    <n v="3238900"/>
    <n v="-2.5735294117646999E-2"/>
    <n v="-7"/>
    <n v="-8.3883162874156939E-4"/>
    <n v="272"/>
  </r>
  <r>
    <x v="806"/>
    <d v="1905-07-13T00:00:00"/>
    <x v="2"/>
    <n v="522"/>
    <n v="528.36999500000002"/>
    <n v="514.29998799999998"/>
    <n v="524.44000200000005"/>
    <n v="524.44000200000005"/>
    <n v="2.4400020000000495"/>
    <n v="2817400"/>
    <n v="-7.9439252336448593E-2"/>
    <n v="-17"/>
    <n v="4.6743333333334278E-3"/>
    <n v="214"/>
  </r>
  <r>
    <x v="807"/>
    <d v="1905-07-13T00:00:00"/>
    <x v="2"/>
    <n v="516.40002400000003"/>
    <n v="517.90002400000003"/>
    <n v="503.85000600000001"/>
    <n v="504.790009"/>
    <n v="504.790009"/>
    <n v="-11.610015000000033"/>
    <n v="4094500"/>
    <n v="-5.8823529411764698E-2"/>
    <n v="-16"/>
    <n v="-2.2482599652241753E-2"/>
    <n v="272"/>
  </r>
  <r>
    <x v="808"/>
    <d v="1905-07-13T00:00:00"/>
    <x v="2"/>
    <n v="504.959991"/>
    <n v="513.19000200000005"/>
    <n v="501.63000499999998"/>
    <n v="512.17999299999997"/>
    <n v="512.17999299999997"/>
    <n v="7.2200019999999654"/>
    <n v="4386400"/>
    <n v="-5.16431924882629E-2"/>
    <n v="-11"/>
    <n v="1.4298166446220421E-2"/>
    <n v="213"/>
  </r>
  <r>
    <x v="809"/>
    <d v="1905-07-13T00:00:00"/>
    <x v="2"/>
    <n v="509.13000499999998"/>
    <n v="529.30999799999995"/>
    <n v="509.13000499999998"/>
    <n v="523.10998500000005"/>
    <n v="523.10998500000005"/>
    <n v="13.979980000000069"/>
    <n v="3360600"/>
    <n v="-4.2016806722688996E-3"/>
    <n v="-1"/>
    <n v="2.7458566304690821E-2"/>
    <n v="238"/>
  </r>
  <r>
    <x v="810"/>
    <d v="1905-07-13T00:00:00"/>
    <x v="2"/>
    <n v="529.86999500000002"/>
    <n v="543.11999500000002"/>
    <n v="529.40002400000003"/>
    <n v="535.09002699999996"/>
    <n v="535.09002699999996"/>
    <n v="5.2200319999999465"/>
    <n v="5583500"/>
    <n v="-1.12359550561797E-2"/>
    <n v="-6"/>
    <n v="9.8515334879453707E-3"/>
    <n v="534"/>
  </r>
  <r>
    <x v="811"/>
    <d v="1905-07-13T00:00:00"/>
    <x v="2"/>
    <n v="533.78002900000001"/>
    <n v="534.419983"/>
    <n v="520"/>
    <n v="520.80999799999995"/>
    <n v="520.80999799999995"/>
    <n v="-12.970031000000063"/>
    <n v="4102200"/>
    <n v="-6.3241106719367501E-2"/>
    <n v="-16"/>
    <n v="-2.4298456846162865E-2"/>
    <n v="253"/>
  </r>
  <r>
    <x v="812"/>
    <d v="1905-07-13T00:00:00"/>
    <x v="2"/>
    <n v="516.98999000000003"/>
    <n v="518.53002900000001"/>
    <n v="497"/>
    <n v="502.85998499999999"/>
    <n v="502.85998499999999"/>
    <n v="-14.13000500000004"/>
    <n v="4926800"/>
    <n v="-6.1643835616438297E-2"/>
    <n v="-18"/>
    <n v="-2.7331293203568679E-2"/>
    <n v="292"/>
  </r>
  <r>
    <x v="813"/>
    <d v="1905-07-13T00:00:00"/>
    <x v="2"/>
    <n v="502.82000699999998"/>
    <n v="508.72000100000002"/>
    <n v="496.67999300000002"/>
    <n v="508.04998799999998"/>
    <n v="508.04998799999998"/>
    <n v="5.2299810000000093"/>
    <n v="3467800"/>
    <n v="-0.109170305676855"/>
    <n v="-25"/>
    <n v="1.0401298530668868E-2"/>
    <n v="229"/>
  </r>
  <r>
    <x v="814"/>
    <d v="1905-07-13T00:00:00"/>
    <x v="2"/>
    <n v="505.66000400000001"/>
    <n v="518"/>
    <n v="504.39999399999999"/>
    <n v="513.95001200000002"/>
    <n v="513.95001200000002"/>
    <n v="8.2900080000000003"/>
    <n v="3330000"/>
    <n v="-4.2328042328042298E-2"/>
    <n v="-16"/>
    <n v="1.6394430910932793E-2"/>
    <n v="378"/>
  </r>
  <r>
    <x v="815"/>
    <d v="1905-07-13T00:00:00"/>
    <x v="2"/>
    <n v="510.51001000000002"/>
    <n v="514.40997300000004"/>
    <n v="506.91000400000001"/>
    <n v="513.39001499999995"/>
    <n v="513.39001499999995"/>
    <n v="2.880004999999926"/>
    <n v="2418100"/>
    <n v="-8.9494163424124501E-2"/>
    <n v="-23"/>
    <n v="5.6414270897448731E-3"/>
    <n v="257"/>
  </r>
  <r>
    <x v="816"/>
    <d v="1905-07-13T00:00:00"/>
    <x v="2"/>
    <n v="515.669983"/>
    <n v="528.13000499999998"/>
    <n v="515.44000200000005"/>
    <n v="521.65997300000004"/>
    <n v="521.65997300000004"/>
    <n v="5.9899900000000343"/>
    <n v="3503100"/>
    <n v="-2.6595744680850998E-3"/>
    <n v="-1"/>
    <n v="1.1615936931508449E-2"/>
    <n v="376"/>
  </r>
  <r>
    <x v="817"/>
    <d v="1905-07-13T00:00:00"/>
    <x v="3"/>
    <n v="529.92999299999997"/>
    <n v="540.5"/>
    <n v="527.03002900000001"/>
    <n v="539.419983"/>
    <n v="539.419983"/>
    <n v="9.4899900000000343"/>
    <n v="3938600"/>
    <n v="-3.8348082595870199E-2"/>
    <n v="-13"/>
    <n v="1.7908006954420554E-2"/>
    <n v="339"/>
  </r>
  <r>
    <x v="818"/>
    <d v="1905-07-13T00:00:00"/>
    <x v="3"/>
    <n v="540.01000999999997"/>
    <n v="542.84997599999997"/>
    <n v="529.22997999999995"/>
    <n v="540.669983"/>
    <n v="540.669983"/>
    <n v="0.65997300000003634"/>
    <n v="3355900"/>
    <n v="-5.2173913043478203E-2"/>
    <n v="-18"/>
    <n v="1.2221495671904978E-3"/>
    <n v="345"/>
  </r>
  <r>
    <x v="819"/>
    <d v="1905-07-13T00:00:00"/>
    <x v="3"/>
    <n v="544.80999799999995"/>
    <n v="554.169983"/>
    <n v="543.29998799999998"/>
    <n v="544.53002900000001"/>
    <n v="544.53002900000001"/>
    <n v="-0.2799689999999373"/>
    <n v="3474200"/>
    <n v="-2.9850746268656001E-3"/>
    <n v="-1"/>
    <n v="-5.138837411716099E-4"/>
    <n v="335"/>
  </r>
  <r>
    <x v="820"/>
    <d v="1905-07-13T00:00:00"/>
    <x v="3"/>
    <n v="543.5"/>
    <n v="549.64001499999995"/>
    <n v="541.45001200000002"/>
    <n v="546.98999000000003"/>
    <n v="546.98999000000003"/>
    <n v="3.4899900000000343"/>
    <n v="2151300"/>
    <n v="-4.7430830039525598E-2"/>
    <n v="-12"/>
    <n v="6.4213247470101828E-3"/>
    <n v="253"/>
  </r>
  <r>
    <x v="821"/>
    <d v="1905-07-13T00:00:00"/>
    <x v="3"/>
    <n v="551.13000499999998"/>
    <n v="556.90002400000003"/>
    <n v="547.57000700000003"/>
    <n v="554.580017"/>
    <n v="554.580017"/>
    <n v="3.4500120000000152"/>
    <n v="4309800"/>
    <n v="-1.52963671128107E-2"/>
    <n v="-8"/>
    <n v="6.2598878099551399E-3"/>
    <n v="523"/>
  </r>
  <r>
    <x v="822"/>
    <d v="1905-07-13T00:00:00"/>
    <x v="3"/>
    <n v="552.69000200000005"/>
    <n v="556.90002400000003"/>
    <n v="547.10998500000005"/>
    <n v="555.30999799999995"/>
    <n v="555.30999799999995"/>
    <n v="2.619995999999901"/>
    <n v="2894000"/>
    <n v="1.75879396984924E-2"/>
    <n v="7"/>
    <n v="4.7404439930503767E-3"/>
    <n v="398"/>
  </r>
  <r>
    <x v="823"/>
    <d v="1905-07-13T00:00:00"/>
    <x v="3"/>
    <n v="551.04998799999998"/>
    <n v="557.97997999999995"/>
    <n v="549.580017"/>
    <n v="552.78002900000001"/>
    <n v="552.78002900000001"/>
    <n v="1.7300410000000284"/>
    <n v="2944100"/>
    <n v="-4.3103448275862002E-2"/>
    <n v="-15"/>
    <n v="3.139535500724897E-3"/>
    <n v="348"/>
  </r>
  <r>
    <x v="824"/>
    <d v="1905-07-13T00:00:00"/>
    <x v="3"/>
    <n v="557"/>
    <n v="559.75"/>
    <n v="550.29998799999998"/>
    <n v="553.72997999999995"/>
    <n v="553.72997999999995"/>
    <n v="-3.270020000000045"/>
    <n v="2720300"/>
    <n v="-9.3567251461988299E-2"/>
    <n v="-32"/>
    <n v="-5.870771992818752E-3"/>
    <n v="342"/>
  </r>
  <r>
    <x v="825"/>
    <d v="1905-07-13T00:00:00"/>
    <x v="3"/>
    <n v="554.86999500000002"/>
    <n v="554.86999500000002"/>
    <n v="538.53002900000001"/>
    <n v="540.02002000000005"/>
    <n v="540.02002000000005"/>
    <n v="-14.849974999999972"/>
    <n v="3740300"/>
    <n v="-5.4421768707482901E-2"/>
    <n v="-16"/>
    <n v="-2.6762980759123534E-2"/>
    <n v="294"/>
  </r>
  <r>
    <x v="826"/>
    <d v="1905-07-13T00:00:00"/>
    <x v="3"/>
    <n v="544.169983"/>
    <n v="553.48999000000003"/>
    <n v="542.65997300000004"/>
    <n v="549.21997099999999"/>
    <n v="549.21997099999999"/>
    <n v="5.0499879999999848"/>
    <n v="3139100"/>
    <n v="-4.0955631399317398E-2"/>
    <n v="-12"/>
    <n v="9.280166414471238E-3"/>
    <n v="293"/>
  </r>
  <r>
    <x v="827"/>
    <d v="1905-07-13T00:00:00"/>
    <x v="3"/>
    <n v="550.53997800000002"/>
    <n v="551.97997999999995"/>
    <n v="539.51000999999997"/>
    <n v="546.53997800000002"/>
    <n v="546.53997800000002"/>
    <n v="-4"/>
    <n v="3209100"/>
    <n v="-0.101167315175097"/>
    <n v="-26"/>
    <n v="-7.2655940709904264E-3"/>
    <n v="257"/>
  </r>
  <r>
    <x v="828"/>
    <d v="1905-07-13T00:00:00"/>
    <x v="3"/>
    <n v="546.90002400000003"/>
    <n v="556.44000200000005"/>
    <n v="545.53002900000001"/>
    <n v="554.44000200000005"/>
    <n v="554.44000200000005"/>
    <n v="7.5399780000000192"/>
    <n v="4288700"/>
    <n v="-1.55642023346303E-2"/>
    <n v="-8"/>
    <n v="1.3786757486044687E-2"/>
    <n v="514"/>
  </r>
  <r>
    <x v="829"/>
    <d v="1905-07-13T00:00:00"/>
    <x v="3"/>
    <n v="554.419983"/>
    <n v="563.55999799999995"/>
    <n v="546.29998799999998"/>
    <n v="549.57000700000003"/>
    <n v="549.57000700000003"/>
    <n v="-4.8499759999999696"/>
    <n v="11257600"/>
    <n v="-0.161198288159771"/>
    <n v="-339"/>
    <n v="-8.7478376478359546E-3"/>
    <n v="2103"/>
  </r>
  <r>
    <x v="830"/>
    <d v="1905-07-13T00:00:00"/>
    <x v="3"/>
    <n v="508"/>
    <n v="515.46002199999998"/>
    <n v="503.60000600000001"/>
    <n v="508.89999399999999"/>
    <n v="508.89999399999999"/>
    <n v="0.89999399999999241"/>
    <n v="22897400"/>
    <n v="-0.141074335322843"/>
    <n v="-260"/>
    <n v="1.7716417322834496E-3"/>
    <n v="1843"/>
  </r>
  <r>
    <x v="831"/>
    <d v="1905-07-13T00:00:00"/>
    <x v="3"/>
    <n v="513.82000700000003"/>
    <n v="513.96002199999998"/>
    <n v="500.54998799999998"/>
    <n v="508.77999899999998"/>
    <n v="508.77999899999998"/>
    <n v="-5.0400080000000571"/>
    <n v="9061100"/>
    <n v="-8.1889763779527502E-2"/>
    <n v="-52"/>
    <n v="-9.8088979240546718E-3"/>
    <n v="635"/>
  </r>
  <r>
    <x v="832"/>
    <d v="1905-07-13T00:00:00"/>
    <x v="3"/>
    <n v="509.01001000000002"/>
    <n v="509.70001200000002"/>
    <n v="500.70001200000002"/>
    <n v="505.54998799999998"/>
    <n v="505.54998799999998"/>
    <n v="-3.4600220000000377"/>
    <n v="7307700"/>
    <n v="-7.1246819338422293E-2"/>
    <n v="-28"/>
    <n v="-6.7975519774159995E-3"/>
    <n v="393"/>
  </r>
  <r>
    <x v="833"/>
    <d v="1905-07-13T00:00:00"/>
    <x v="3"/>
    <n v="506.76001000000002"/>
    <n v="510.48001099999999"/>
    <n v="503"/>
    <n v="510.29998799999998"/>
    <n v="510.29998799999998"/>
    <n v="3.5399779999999623"/>
    <n v="4388800"/>
    <n v="-9.6618357487922007E-3"/>
    <n v="-4"/>
    <n v="6.9855117415440144E-3"/>
    <n v="414"/>
  </r>
  <r>
    <x v="834"/>
    <d v="1905-07-13T00:00:00"/>
    <x v="3"/>
    <n v="512.61999500000002"/>
    <n v="512.98999000000003"/>
    <n v="504.57998700000002"/>
    <n v="505.54998799999998"/>
    <n v="505.54998799999998"/>
    <n v="-7.0700070000000323"/>
    <n v="3761300"/>
    <n v="-4.85436893203883E-2"/>
    <n v="-15"/>
    <n v="-1.3791906419881324E-2"/>
    <n v="309"/>
  </r>
  <r>
    <x v="835"/>
    <d v="1905-07-13T00:00:00"/>
    <x v="3"/>
    <n v="505.20001200000002"/>
    <n v="508.39999399999999"/>
    <n v="503.33999599999999"/>
    <n v="506.51998900000001"/>
    <n v="506.51998900000001"/>
    <n v="1.3199769999999944"/>
    <n v="3193000"/>
    <n v="-5.1829268292682897E-2"/>
    <n v="-17"/>
    <n v="2.6127810147399491E-3"/>
    <n v="328"/>
  </r>
  <r>
    <x v="836"/>
    <d v="1905-07-13T00:00:00"/>
    <x v="3"/>
    <n v="507.60000600000001"/>
    <n v="509.290009"/>
    <n v="499"/>
    <n v="509"/>
    <n v="509"/>
    <n v="1.3999939999999924"/>
    <n v="5127800"/>
    <n v="-2.6086956521739101E-2"/>
    <n v="-9"/>
    <n v="2.7580653732301027E-3"/>
    <n v="345"/>
  </r>
  <r>
    <x v="837"/>
    <d v="1905-07-13T00:00:00"/>
    <x v="3"/>
    <n v="505"/>
    <n v="514.54998799999998"/>
    <n v="505"/>
    <n v="513.46997099999999"/>
    <n v="513.46997099999999"/>
    <n v="8.4699709999999868"/>
    <n v="4413200"/>
    <n v="-9.2696629213483095E-2"/>
    <n v="-33"/>
    <n v="1.6772219801980171E-2"/>
    <n v="356"/>
  </r>
  <r>
    <x v="838"/>
    <d v="1905-07-13T00:00:00"/>
    <x v="4"/>
    <n v="512.65002400000003"/>
    <n v="518.95001200000002"/>
    <n v="505.20001200000002"/>
    <n v="509.10998499999999"/>
    <n v="509.10998499999999"/>
    <n v="-3.5400390000000357"/>
    <n v="4091900"/>
    <n v="-2.40963855421686E-2"/>
    <n v="-8"/>
    <n v="-6.905371762939848E-3"/>
    <n v="332"/>
  </r>
  <r>
    <x v="839"/>
    <d v="1905-07-13T00:00:00"/>
    <x v="4"/>
    <n v="510.77999899999998"/>
    <n v="511.63000499999998"/>
    <n v="496.790009"/>
    <n v="503.17999300000002"/>
    <n v="503.17999300000002"/>
    <n v="-7.6000059999999507"/>
    <n v="4349500"/>
    <n v="-9.12162162162162E-2"/>
    <n v="-27"/>
    <n v="-1.487921612999563E-2"/>
    <n v="296"/>
  </r>
  <r>
    <x v="840"/>
    <d v="1905-07-13T00:00:00"/>
    <x v="4"/>
    <n v="504.98998999999998"/>
    <n v="507.77999899999998"/>
    <n v="494.63000499999998"/>
    <n v="496.07998700000002"/>
    <n v="496.07998700000002"/>
    <n v="-8.9100029999999606"/>
    <n v="3129400"/>
    <n v="-0.113846153846153"/>
    <n v="-37"/>
    <n v="-1.7643920030969248E-2"/>
    <n v="325"/>
  </r>
  <r>
    <x v="841"/>
    <d v="1905-07-13T00:00:00"/>
    <x v="4"/>
    <n v="495.98998999999998"/>
    <n v="499.54998799999998"/>
    <n v="491.36999500000002"/>
    <n v="499.54998799999998"/>
    <n v="499.54998799999998"/>
    <n v="3.5599980000000073"/>
    <n v="3783700"/>
    <n v="-0.108761329305135"/>
    <n v="-36"/>
    <n v="7.1775601761640542E-3"/>
    <n v="331"/>
  </r>
  <r>
    <x v="842"/>
    <d v="1905-07-13T00:00:00"/>
    <x v="4"/>
    <n v="504.61999500000002"/>
    <n v="508.54998799999998"/>
    <n v="501.11999500000002"/>
    <n v="503.83999599999999"/>
    <n v="503.83999599999999"/>
    <n v="-0.77999900000003208"/>
    <n v="3132800"/>
    <n v="-5.2434456928838899E-2"/>
    <n v="-14"/>
    <n v="-1.5457156032828863E-3"/>
    <n v="267"/>
  </r>
  <r>
    <x v="843"/>
    <d v="1905-07-13T00:00:00"/>
    <x v="4"/>
    <n v="502"/>
    <n v="503.14999399999999"/>
    <n v="486.10998499999999"/>
    <n v="486.69000199999999"/>
    <n v="486.69000199999999"/>
    <n v="-15.309998000000007"/>
    <n v="5131600"/>
    <n v="-9.0047393364928896E-2"/>
    <n v="-19"/>
    <n v="-3.049800398406376E-2"/>
    <n v="211"/>
  </r>
  <r>
    <x v="844"/>
    <d v="1905-07-13T00:00:00"/>
    <x v="4"/>
    <n v="479.75"/>
    <n v="497.98998999999998"/>
    <n v="478.63000499999998"/>
    <n v="495.07998700000002"/>
    <n v="495.07998700000002"/>
    <n v="15.329987000000017"/>
    <n v="4401000"/>
    <n v="-6.1371841155234599E-2"/>
    <n v="-17"/>
    <n v="3.1954115685252769E-2"/>
    <n v="277"/>
  </r>
  <r>
    <x v="845"/>
    <d v="1905-07-13T00:00:00"/>
    <x v="4"/>
    <n v="486.82998700000002"/>
    <n v="493.540009"/>
    <n v="482.70001200000002"/>
    <n v="484.98001099999999"/>
    <n v="484.98001099999999"/>
    <n v="-1.8499760000000265"/>
    <n v="4121500"/>
    <n v="-0.08"/>
    <n v="-16"/>
    <n v="-3.8000452917868973E-3"/>
    <n v="200"/>
  </r>
  <r>
    <x v="846"/>
    <d v="1905-07-13T00:00:00"/>
    <x v="4"/>
    <n v="489.13000499999998"/>
    <n v="490.77999899999998"/>
    <n v="482.709991"/>
    <n v="486.66000400000001"/>
    <n v="486.66000400000001"/>
    <n v="-2.4700009999999679"/>
    <n v="2712500"/>
    <n v="-9.7014925373134303E-2"/>
    <n v="-26"/>
    <n v="-5.049784259299259E-3"/>
    <n v="268"/>
  </r>
  <r>
    <x v="847"/>
    <d v="1905-07-13T00:00:00"/>
    <x v="4"/>
    <n v="487.85998499999999"/>
    <n v="494.85000600000001"/>
    <n v="486.58999599999999"/>
    <n v="493.36999500000002"/>
    <n v="493.36999500000002"/>
    <n v="5.5100100000000225"/>
    <n v="2882500"/>
    <n v="-9.6069868995633106E-2"/>
    <n v="-22"/>
    <n v="1.1294244597658532E-2"/>
    <n v="229"/>
  </r>
  <r>
    <x v="848"/>
    <d v="1905-07-13T00:00:00"/>
    <x v="4"/>
    <n v="485.58999599999999"/>
    <n v="492.709991"/>
    <n v="482.80999800000001"/>
    <n v="488.94000199999999"/>
    <n v="488.94000199999999"/>
    <n v="3.3500060000000076"/>
    <n v="2705200"/>
    <n v="-4.7781569965870303E-2"/>
    <n v="-14"/>
    <n v="6.8988365238068202E-3"/>
    <n v="293"/>
  </r>
  <r>
    <x v="849"/>
    <d v="1905-07-13T00:00:00"/>
    <x v="4"/>
    <n v="488.39999399999999"/>
    <n v="493.48001099999999"/>
    <n v="486.19000199999999"/>
    <n v="486.27999899999998"/>
    <n v="486.27999899999998"/>
    <n v="-2.1199950000000172"/>
    <n v="2350500"/>
    <n v="9.1324200913242004E-3"/>
    <n v="2"/>
    <n v="-4.3406941565196193E-3"/>
    <n v="219"/>
  </r>
  <r>
    <x v="850"/>
    <d v="1905-07-13T00:00:00"/>
    <x v="4"/>
    <n v="481.63000499999998"/>
    <n v="488.57000699999998"/>
    <n v="478.540009"/>
    <n v="487.70001200000002"/>
    <n v="487.70001200000002"/>
    <n v="6.0700070000000323"/>
    <n v="3349900"/>
    <n v="-0.104838709677419"/>
    <n v="-26"/>
    <n v="1.2603049928336654E-2"/>
    <n v="248"/>
  </r>
  <r>
    <x v="851"/>
    <d v="1905-07-13T00:00:00"/>
    <x v="4"/>
    <n v="489.54998799999998"/>
    <n v="502.70001200000002"/>
    <n v="488.98001099999999"/>
    <n v="501.67001299999998"/>
    <n v="501.67001299999998"/>
    <n v="12.120024999999998"/>
    <n v="3721200"/>
    <n v="-2.84697508896797E-2"/>
    <n v="-8"/>
    <n v="2.4757481967296054E-2"/>
    <n v="281"/>
  </r>
  <r>
    <x v="852"/>
    <d v="1905-07-13T00:00:00"/>
    <x v="4"/>
    <n v="503.11999500000002"/>
    <n v="505.39999399999999"/>
    <n v="497.26001000000002"/>
    <n v="497.89001500000001"/>
    <n v="497.89001500000001"/>
    <n v="-5.2299800000000118"/>
    <n v="3322900"/>
    <n v="-4.3887147335423198E-2"/>
    <n v="-14"/>
    <n v="-1.0395094712942211E-2"/>
    <n v="319"/>
  </r>
  <r>
    <x v="853"/>
    <d v="1905-07-13T00:00:00"/>
    <x v="4"/>
    <n v="501.04998799999998"/>
    <n v="504.25"/>
    <n v="499.51001000000002"/>
    <n v="502.89999399999999"/>
    <n v="502.89999399999999"/>
    <n v="1.8500060000000076"/>
    <n v="2412600"/>
    <n v="-8.5972850678733004E-2"/>
    <n v="-19"/>
    <n v="3.6922583460874321E-3"/>
    <n v="221"/>
  </r>
  <r>
    <x v="854"/>
    <d v="1905-07-13T00:00:00"/>
    <x v="4"/>
    <n v="506"/>
    <n v="506.36999500000002"/>
    <n v="499.22000100000002"/>
    <n v="501.33999599999999"/>
    <n v="501.33999599999999"/>
    <n v="-4.6600040000000149"/>
    <n v="2699500"/>
    <n v="-1.33928571428571E-2"/>
    <n v="-3"/>
    <n v="-9.209494071146275E-3"/>
    <n v="224"/>
  </r>
  <r>
    <x v="855"/>
    <d v="1905-07-13T00:00:00"/>
    <x v="4"/>
    <n v="502.33999599999999"/>
    <n v="504.14001500000001"/>
    <n v="500.5"/>
    <n v="502.35998499999999"/>
    <n v="502.35998499999999"/>
    <n v="1.9989000000009582E-2"/>
    <n v="2465300"/>
    <n v="-4.9549549549549501E-2"/>
    <n v="-11"/>
    <n v="3.9791774812232121E-5"/>
    <n v="222"/>
  </r>
  <r>
    <x v="856"/>
    <d v="1905-07-13T00:00:00"/>
    <x v="4"/>
    <n v="501.79998799999998"/>
    <n v="505.10000600000001"/>
    <n v="498.540009"/>
    <n v="503.85998499999999"/>
    <n v="503.85998499999999"/>
    <n v="2.0599970000000098"/>
    <n v="3253800"/>
    <n v="-9.7938144329896906E-2"/>
    <n v="-19"/>
    <n v="4.1052153233610876E-3"/>
    <n v="194"/>
  </r>
  <r>
    <x v="857"/>
    <d v="1905-07-13T00:00:00"/>
    <x v="4"/>
    <n v="504.39999399999999"/>
    <n v="511.76001000000002"/>
    <n v="502.52999899999998"/>
    <n v="502.80999800000001"/>
    <n v="502.80999800000001"/>
    <n v="-1.5899959999999851"/>
    <n v="2910300"/>
    <n v="-8.0402010050251202E-2"/>
    <n v="-16"/>
    <n v="-3.152252218305905E-3"/>
    <n v="199"/>
  </r>
  <r>
    <x v="858"/>
    <d v="1905-07-13T00:00:00"/>
    <x v="5"/>
    <n v="504.01001000000002"/>
    <n v="505.41000400000001"/>
    <n v="497.73998999999998"/>
    <n v="499.07998700000002"/>
    <n v="499.07998700000002"/>
    <n v="-4.9300230000000056"/>
    <n v="2482600"/>
    <n v="-6.8750000000000006E-2"/>
    <n v="-11"/>
    <n v="-9.7815973932740049E-3"/>
    <n v="160"/>
  </r>
  <r>
    <x v="859"/>
    <d v="1905-07-13T00:00:00"/>
    <x v="5"/>
    <n v="499.82000699999998"/>
    <n v="503.22000100000002"/>
    <n v="495.82000699999998"/>
    <n v="499.23998999999998"/>
    <n v="499.23998999999998"/>
    <n v="-0.58001699999999801"/>
    <n v="2269000"/>
    <n v="-0.15730337078651599"/>
    <n v="-28"/>
    <n v="-1.1604517463823692E-3"/>
    <n v="178"/>
  </r>
  <r>
    <x v="860"/>
    <d v="1905-07-13T00:00:00"/>
    <x v="5"/>
    <n v="495.19000199999999"/>
    <n v="496.66000400000001"/>
    <n v="487.25"/>
    <n v="489.42999300000002"/>
    <n v="489.42999300000002"/>
    <n v="-5.7600089999999682"/>
    <n v="3887400"/>
    <n v="-6.19469026548672E-2"/>
    <n v="-14"/>
    <n v="-1.163191699496382E-2"/>
    <n v="226"/>
  </r>
  <r>
    <x v="861"/>
    <d v="1905-07-13T00:00:00"/>
    <x v="5"/>
    <n v="492"/>
    <n v="501.85998499999999"/>
    <n v="490.95001200000002"/>
    <n v="494.73998999999998"/>
    <n v="494.73998999999998"/>
    <n v="2.7399899999999775"/>
    <n v="3160500"/>
    <n v="-4.7904191616766401E-2"/>
    <n v="-8"/>
    <n v="5.5690853658536127E-3"/>
    <n v="167"/>
  </r>
  <r>
    <x v="862"/>
    <d v="1905-07-13T00:00:00"/>
    <x v="5"/>
    <n v="492.92001299999998"/>
    <n v="496.70001200000002"/>
    <n v="490.54998799999998"/>
    <n v="494.66000400000001"/>
    <n v="494.66000400000001"/>
    <n v="1.7399910000000318"/>
    <n v="2791900"/>
    <n v="-4.3062200956937802E-2"/>
    <n v="-9"/>
    <n v="3.5299662300382838E-3"/>
    <n v="209"/>
  </r>
  <r>
    <x v="863"/>
    <d v="1905-07-13T00:00:00"/>
    <x v="5"/>
    <n v="497"/>
    <n v="498.82000699999998"/>
    <n v="489.36999500000002"/>
    <n v="492.39001500000001"/>
    <n v="492.39001500000001"/>
    <n v="-4.6099849999999947"/>
    <n v="2374000"/>
    <n v="-3.6036036036036001E-2"/>
    <n v="-8"/>
    <n v="-9.2756237424547177E-3"/>
    <n v="222"/>
  </r>
  <r>
    <x v="864"/>
    <d v="1905-07-13T00:00:00"/>
    <x v="5"/>
    <n v="494.5"/>
    <n v="496.08999599999999"/>
    <n v="484.64999399999999"/>
    <n v="485.80999800000001"/>
    <n v="485.80999800000001"/>
    <n v="-8.6900019999999927"/>
    <n v="3055000"/>
    <n v="-0.162650602409638"/>
    <n v="-27"/>
    <n v="-1.7573310414560148E-2"/>
    <n v="166"/>
  </r>
  <r>
    <x v="865"/>
    <d v="1905-07-13T00:00:00"/>
    <x v="5"/>
    <n v="487.17001299999998"/>
    <n v="490.209991"/>
    <n v="482.14001500000001"/>
    <n v="487.26998900000001"/>
    <n v="487.26998900000001"/>
    <n v="9.9976000000026488E-2"/>
    <n v="4382900"/>
    <n v="-8.0586080586080494E-2"/>
    <n v="-22"/>
    <n v="2.0521788560911791E-4"/>
    <n v="273"/>
  </r>
  <r>
    <x v="866"/>
    <d v="1905-07-13T00:00:00"/>
    <x v="5"/>
    <n v="490"/>
    <n v="491.41000400000001"/>
    <n v="487.77999899999998"/>
    <n v="488.76998900000001"/>
    <n v="488.76998900000001"/>
    <n v="-1.2300109999999904"/>
    <n v="3124000"/>
    <n v="-2.69230769230769E-2"/>
    <n v="-7"/>
    <n v="-2.5102265306122255E-3"/>
    <n v="260"/>
  </r>
  <r>
    <x v="867"/>
    <d v="1905-07-13T00:00:00"/>
    <x v="5"/>
    <n v="489.67999300000002"/>
    <n v="503.5"/>
    <n v="486.91000400000001"/>
    <n v="499.89001500000001"/>
    <n v="499.89001500000001"/>
    <n v="10.210021999999981"/>
    <n v="4400200"/>
    <n v="5.9659090909090898E-2"/>
    <n v="21"/>
    <n v="2.0850396475152664E-2"/>
    <n v="352"/>
  </r>
  <r>
    <x v="868"/>
    <d v="1905-07-13T00:00:00"/>
    <x v="5"/>
    <n v="501.23001099999999"/>
    <n v="501.23001099999999"/>
    <n v="490.39999399999999"/>
    <n v="491.89999399999999"/>
    <n v="491.89999399999999"/>
    <n v="-9.330016999999998"/>
    <n v="3104100"/>
    <n v="-6.0465116279069697E-2"/>
    <n v="-13"/>
    <n v="-1.8614242553804301E-2"/>
    <n v="215"/>
  </r>
  <r>
    <x v="869"/>
    <d v="1905-07-13T00:00:00"/>
    <x v="5"/>
    <n v="495"/>
    <n v="496.459991"/>
    <n v="486.27999899999998"/>
    <n v="492.41000400000001"/>
    <n v="492.41000400000001"/>
    <n v="-2.5899959999999851"/>
    <n v="3533200"/>
    <n v="-7.69230769230769E-2"/>
    <n v="-13"/>
    <n v="-5.2323151515151212E-3"/>
    <n v="169"/>
  </r>
  <r>
    <x v="870"/>
    <d v="1905-07-13T00:00:00"/>
    <x v="5"/>
    <n v="490.25"/>
    <n v="501.79998799999998"/>
    <n v="490.14999399999999"/>
    <n v="498.33999599999999"/>
    <n v="498.33999599999999"/>
    <n v="8.0899959999999851"/>
    <n v="3198300"/>
    <n v="-7.8125E-2"/>
    <n v="-25"/>
    <n v="1.6501776644569068E-2"/>
    <n v="320"/>
  </r>
  <r>
    <x v="871"/>
    <d v="1905-07-13T00:00:00"/>
    <x v="5"/>
    <n v="496.39999399999999"/>
    <n v="504.48998999999998"/>
    <n v="495.23998999999998"/>
    <n v="500.76998900000001"/>
    <n v="500.76998900000001"/>
    <n v="4.3699950000000172"/>
    <n v="5197600"/>
    <n v="-3.1007751937984399E-2"/>
    <n v="-8"/>
    <n v="8.8033744013301038E-3"/>
    <n v="258"/>
  </r>
  <r>
    <x v="872"/>
    <d v="1905-07-13T00:00:00"/>
    <x v="5"/>
    <n v="501.64001500000001"/>
    <n v="502.04998799999998"/>
    <n v="492.27999899999998"/>
    <n v="497"/>
    <n v="497"/>
    <n v="-4.6400150000000053"/>
    <n v="5277300"/>
    <n v="-5.6603773584905599E-2"/>
    <n v="-21"/>
    <n v="-9.2496907368922812E-3"/>
    <n v="371"/>
  </r>
  <r>
    <x v="873"/>
    <d v="1905-07-13T00:00:00"/>
    <x v="5"/>
    <n v="498.540009"/>
    <n v="513.54998799999998"/>
    <n v="495.79998799999998"/>
    <n v="508.82000699999998"/>
    <n v="508.82000699999998"/>
    <n v="10.279997999999978"/>
    <n v="5809300"/>
    <n v="1.8975332068311101E-2"/>
    <n v="10"/>
    <n v="2.0620206632202268E-2"/>
    <n v="527"/>
  </r>
  <r>
    <x v="874"/>
    <d v="1905-07-13T00:00:00"/>
    <x v="5"/>
    <n v="508.48001099999999"/>
    <n v="516.63000499999998"/>
    <n v="508.20001200000002"/>
    <n v="512.73999000000003"/>
    <n v="512.73999000000003"/>
    <n v="4.2599790000000439"/>
    <n v="3944800"/>
    <n v="4.5045045045045001E-3"/>
    <n v="2"/>
    <n v="8.3778691548211989E-3"/>
    <n v="444"/>
  </r>
  <r>
    <x v="875"/>
    <d v="1905-07-13T00:00:00"/>
    <x v="5"/>
    <n v="517.96002199999998"/>
    <n v="520.96002199999998"/>
    <n v="514.40002400000003"/>
    <n v="518.05999799999995"/>
    <n v="518.05999799999995"/>
    <n v="9.9975999999969645E-2"/>
    <n v="3361200"/>
    <n v="-2.8218694885361498E-2"/>
    <n v="-16"/>
    <n v="1.9301875772947136E-4"/>
    <n v="567"/>
  </r>
  <r>
    <x v="876"/>
    <d v="1905-07-13T00:00:00"/>
    <x v="5"/>
    <n v="528.84002699999996"/>
    <n v="533.05999799999995"/>
    <n v="525"/>
    <n v="527.07000700000003"/>
    <n v="527.07000700000003"/>
    <n v="-1.7700199999999313"/>
    <n v="5299100"/>
    <n v="2.25165562913907E-2"/>
    <n v="17"/>
    <n v="-3.3469856849544623E-3"/>
    <n v="755"/>
  </r>
  <r>
    <x v="877"/>
    <d v="1905-07-13T00:00:00"/>
    <x v="5"/>
    <n v="528.11999500000002"/>
    <n v="533.94000200000005"/>
    <n v="524.55999799999995"/>
    <n v="533.03002900000001"/>
    <n v="533.03002900000001"/>
    <n v="4.910033999999996"/>
    <n v="2820200"/>
    <n v="-3.3018867924528301E-2"/>
    <n v="-14"/>
    <n v="9.2971939076080534E-3"/>
    <n v="424"/>
  </r>
  <r>
    <x v="878"/>
    <d v="1905-07-13T00:00:00"/>
    <x v="5"/>
    <n v="533.54998799999998"/>
    <n v="536.13000499999998"/>
    <n v="528.57000700000003"/>
    <n v="533.5"/>
    <n v="533.5"/>
    <n v="-4.9987999999984822E-2"/>
    <n v="2314600"/>
    <n v="-4.0677966101694898E-2"/>
    <n v="-12"/>
    <n v="-9.3689440772670062E-5"/>
    <n v="295"/>
  </r>
  <r>
    <x v="879"/>
    <d v="1905-07-13T00:00:00"/>
    <x v="5"/>
    <n v="534.05999799999995"/>
    <n v="534.38000499999998"/>
    <n v="526.82000700000003"/>
    <n v="528.21002199999998"/>
    <n v="528.21002199999998"/>
    <n v="-5.8499759999999696"/>
    <n v="2773400"/>
    <n v="-7.4074074074074001E-2"/>
    <n v="-18"/>
    <n v="-1.0953780515124764E-2"/>
    <n v="243"/>
  </r>
  <r>
    <x v="880"/>
    <d v="1905-07-13T00:00:00"/>
    <x v="6"/>
    <n v="525.71997099999999"/>
    <n v="537.03997800000002"/>
    <n v="525.71997099999999"/>
    <n v="533.53997800000002"/>
    <n v="533.53997800000002"/>
    <n v="7.8200070000000323"/>
    <n v="2805400"/>
    <n v="-4.0133779264213999E-2"/>
    <n v="-12"/>
    <n v="1.4874852452580753E-2"/>
    <n v="299"/>
  </r>
  <r>
    <x v="881"/>
    <d v="1905-07-13T00:00:00"/>
    <x v="6"/>
    <n v="535.5"/>
    <n v="538.53997800000002"/>
    <n v="529.39001499999995"/>
    <n v="533.97997999999995"/>
    <n v="533.97997999999995"/>
    <n v="-1.520020000000045"/>
    <n v="1975500"/>
    <n v="-6.0975609756097497E-2"/>
    <n v="-15"/>
    <n v="-2.8385060690943884E-3"/>
    <n v="246"/>
  </r>
  <r>
    <x v="882"/>
    <d v="1905-07-13T00:00:00"/>
    <x v="6"/>
    <n v="533"/>
    <n v="542.85998500000005"/>
    <n v="533"/>
    <n v="541.64001499999995"/>
    <n v="541.64001499999995"/>
    <n v="8.6400149999999485"/>
    <n v="2775100"/>
    <n v="3.5623409669211098E-2"/>
    <n v="14"/>
    <n v="1.6210159474671575E-2"/>
    <n v="393"/>
  </r>
  <r>
    <x v="883"/>
    <d v="1905-07-13T00:00:00"/>
    <x v="6"/>
    <n v="544.23999000000003"/>
    <n v="544.64001499999995"/>
    <n v="531.65997300000004"/>
    <n v="535.96002199999998"/>
    <n v="535.96002199999998"/>
    <n v="-8.2799680000000535"/>
    <n v="2722500"/>
    <n v="-6.8493150684931503E-2"/>
    <n v="-20"/>
    <n v="-1.5213817713027763E-2"/>
    <n v="292"/>
  </r>
  <r>
    <x v="884"/>
    <d v="1905-07-13T00:00:00"/>
    <x v="6"/>
    <n v="530.92999299999997"/>
    <n v="535.5"/>
    <n v="529.09002699999996"/>
    <n v="530.76000999999997"/>
    <n v="530.76000999999997"/>
    <n v="-0.16998300000000199"/>
    <n v="3269000"/>
    <n v="-0.100418410041841"/>
    <n v="-24"/>
    <n v="-3.2016085405068087E-4"/>
    <n v="239"/>
  </r>
  <r>
    <x v="885"/>
    <d v="1905-07-13T00:00:00"/>
    <x v="6"/>
    <n v="531"/>
    <n v="538.26000999999997"/>
    <n v="528.580017"/>
    <n v="535.97997999999995"/>
    <n v="535.97997999999995"/>
    <n v="4.979979999999955"/>
    <n v="2777200"/>
    <n v="-8.2125603864734303E-2"/>
    <n v="-17"/>
    <n v="9.3784934086628153E-3"/>
    <n v="207"/>
  </r>
  <r>
    <x v="886"/>
    <d v="1905-07-13T00:00:00"/>
    <x v="6"/>
    <n v="540.29998799999998"/>
    <n v="540.65002400000003"/>
    <n v="532.919983"/>
    <n v="537.30999799999995"/>
    <n v="537.30999799999995"/>
    <n v="-2.9899900000000343"/>
    <n v="1780700"/>
    <n v="-4.5045045045045001E-2"/>
    <n v="-10"/>
    <n v="-5.5339442280351011E-3"/>
    <n v="222"/>
  </r>
  <r>
    <x v="887"/>
    <d v="1905-07-13T00:00:00"/>
    <x v="6"/>
    <n v="535.76000999999997"/>
    <n v="545.330017"/>
    <n v="535.76000999999997"/>
    <n v="540.67999299999997"/>
    <n v="540.67999299999997"/>
    <n v="4.919983000000002"/>
    <n v="2751600"/>
    <n v="-3.2154340836012797E-2"/>
    <n v="-10"/>
    <n v="9.1831844635063414E-3"/>
    <n v="311"/>
  </r>
  <r>
    <x v="888"/>
    <d v="1905-07-13T00:00:00"/>
    <x v="6"/>
    <n v="541.01000999999997"/>
    <n v="554.09997599999997"/>
    <n v="541.01000999999997"/>
    <n v="547.95001200000002"/>
    <n v="547.95001200000002"/>
    <n v="6.9400020000000495"/>
    <n v="4659500"/>
    <n v="-4.9261083743842001E-3"/>
    <n v="-3"/>
    <n v="1.2827862464134535E-2"/>
    <n v="609"/>
  </r>
  <r>
    <x v="889"/>
    <d v="1905-07-13T00:00:00"/>
    <x v="6"/>
    <n v="553.96997099999999"/>
    <n v="557.53997800000002"/>
    <n v="538.20001200000002"/>
    <n v="542.95001200000002"/>
    <n v="542.95001200000002"/>
    <n v="-11.019958999999972"/>
    <n v="5713900"/>
    <n v="-3.5343035343035303E-2"/>
    <n v="-34"/>
    <n v="-1.9892701007073129E-2"/>
    <n v="962"/>
  </r>
  <r>
    <x v="890"/>
    <d v="1905-07-13T00:00:00"/>
    <x v="6"/>
    <n v="541.80999799999995"/>
    <n v="544.05999799999995"/>
    <n v="527.04998799999998"/>
    <n v="530.30999799999995"/>
    <n v="530.30999799999995"/>
    <n v="-11.5"/>
    <n v="3442100"/>
    <n v="-5.7692307692307598E-2"/>
    <n v="-24"/>
    <n v="-2.1225152807165439E-2"/>
    <n v="416"/>
  </r>
  <r>
    <x v="891"/>
    <d v="1905-07-13T00:00:00"/>
    <x v="6"/>
    <n v="526.04998799999998"/>
    <n v="534.90997300000004"/>
    <n v="522.23999000000003"/>
    <n v="532.28002900000001"/>
    <n v="532.28002900000001"/>
    <n v="6.2300410000000284"/>
    <n v="3885800"/>
    <n v="-2.7088036117381399E-2"/>
    <n v="-12"/>
    <n v="1.1843058914773759E-2"/>
    <n v="443"/>
  </r>
  <r>
    <x v="892"/>
    <d v="1905-07-13T00:00:00"/>
    <x v="6"/>
    <n v="526.07000700000003"/>
    <n v="536.64001499999995"/>
    <n v="520.29998799999998"/>
    <n v="531.04998799999998"/>
    <n v="531.04998799999998"/>
    <n v="4.9799809999999525"/>
    <n v="6930400"/>
    <n v="-0.13762486126526"/>
    <n v="-124"/>
    <n v="9.4663845756938429E-3"/>
    <n v="901"/>
  </r>
  <r>
    <x v="893"/>
    <d v="1905-07-13T00:00:00"/>
    <x v="6"/>
    <n v="526.13000499999998"/>
    <n v="530.98999000000003"/>
    <n v="505.60998499999999"/>
    <n v="513.63000499999998"/>
    <n v="513.63000499999998"/>
    <n v="-12.5"/>
    <n v="11906800"/>
    <n v="-7.6855895196506499E-2"/>
    <n v="-88"/>
    <n v="-2.3758386484724437E-2"/>
    <n v="1145"/>
  </r>
  <r>
    <x v="894"/>
    <d v="1905-07-13T00:00:00"/>
    <x v="6"/>
    <n v="510.209991"/>
    <n v="513.67999299999997"/>
    <n v="507"/>
    <n v="511.76998900000001"/>
    <n v="511.76998900000001"/>
    <n v="1.5599980000000073"/>
    <n v="4328100"/>
    <n v="-0.105527638190954"/>
    <n v="-42"/>
    <n v="3.0575606662316562E-3"/>
    <n v="398"/>
  </r>
  <r>
    <x v="895"/>
    <d v="1905-07-13T00:00:00"/>
    <x v="6"/>
    <n v="512.15997300000004"/>
    <n v="517.40997300000004"/>
    <n v="504.66000400000001"/>
    <n v="515.40997300000004"/>
    <n v="515.40997300000004"/>
    <n v="3.25"/>
    <n v="3820500"/>
    <n v="-2.6315789473684002E-3"/>
    <n v="-1"/>
    <n v="6.3456735616471138E-3"/>
    <n v="380"/>
  </r>
  <r>
    <x v="896"/>
    <d v="1905-07-13T00:00:00"/>
    <x v="6"/>
    <n v="514.38000499999998"/>
    <n v="521.13000499999998"/>
    <n v="509.01001000000002"/>
    <n v="516.48999000000003"/>
    <n v="516.48999000000003"/>
    <n v="2.1099850000000515"/>
    <n v="2254500"/>
    <n v="-2.74914089347079E-2"/>
    <n v="-8"/>
    <n v="4.1019965385319587E-3"/>
    <n v="291"/>
  </r>
  <r>
    <x v="897"/>
    <d v="1905-07-13T00:00:00"/>
    <x v="6"/>
    <n v="518.080017"/>
    <n v="521.95001200000002"/>
    <n v="512.04998799999998"/>
    <n v="518.90997300000004"/>
    <n v="518.90997300000004"/>
    <n v="0.82995600000003833"/>
    <n v="2759000"/>
    <n v="0"/>
    <n v="0"/>
    <n v="1.6019841969701725E-3"/>
    <n v="281"/>
  </r>
  <r>
    <x v="898"/>
    <d v="1905-07-13T00:00:00"/>
    <x v="6"/>
    <n v="521.82000700000003"/>
    <n v="524.46997099999999"/>
    <n v="516.97997999999995"/>
    <n v="519.29998799999998"/>
    <n v="519.29998799999998"/>
    <n v="-2.5200190000000475"/>
    <n v="2390500"/>
    <n v="-4.8951048951048903E-2"/>
    <n v="-14"/>
    <n v="-4.8292878122629121E-3"/>
    <n v="286"/>
  </r>
  <r>
    <x v="899"/>
    <d v="1905-07-13T00:00:00"/>
    <x v="6"/>
    <n v="519.96002199999998"/>
    <n v="520.78002900000001"/>
    <n v="513.78997800000002"/>
    <n v="514.25"/>
    <n v="514.25"/>
    <n v="-5.7100219999999808"/>
    <n v="1736000"/>
    <n v="-0.124"/>
    <n v="-31"/>
    <n v="-1.0981655816608111E-2"/>
    <n v="250"/>
  </r>
  <r>
    <x v="900"/>
    <d v="1905-07-13T00:00:00"/>
    <x v="6"/>
    <n v="512.69000200000005"/>
    <n v="519.78997800000002"/>
    <n v="510.959991"/>
    <n v="517.57000700000003"/>
    <n v="517.57000700000003"/>
    <n v="4.8800049999999828"/>
    <n v="2537100"/>
    <n v="-9.7222222222222196E-2"/>
    <n v="-21"/>
    <n v="9.5184321538612383E-3"/>
    <n v="216"/>
  </r>
  <r>
    <x v="901"/>
    <d v="1905-07-13T00:00:00"/>
    <x v="7"/>
    <n v="519"/>
    <n v="519.84997599999997"/>
    <n v="510.51001000000002"/>
    <n v="515.15002400000003"/>
    <n v="515.15002400000003"/>
    <n v="-3.8499759999999696"/>
    <n v="2096600"/>
    <n v="-9.0090090090090003E-2"/>
    <n v="-20"/>
    <n v="-7.4180655105972439E-3"/>
    <n v="222"/>
  </r>
  <r>
    <x v="902"/>
    <d v="1905-07-13T00:00:00"/>
    <x v="7"/>
    <n v="514.39001499999995"/>
    <n v="515.63000499999998"/>
    <n v="505.36999500000002"/>
    <n v="510.82000699999998"/>
    <n v="510.82000699999998"/>
    <n v="-3.570007999999973"/>
    <n v="2579400"/>
    <n v="-8.6486486486486394E-2"/>
    <n v="-16"/>
    <n v="-6.9402746863194325E-3"/>
    <n v="185"/>
  </r>
  <r>
    <x v="903"/>
    <d v="1905-07-13T00:00:00"/>
    <x v="7"/>
    <n v="513"/>
    <n v="517.97997999999995"/>
    <n v="510.36999500000002"/>
    <n v="517.34997599999997"/>
    <n v="517.34997599999997"/>
    <n v="4.3499759999999696"/>
    <n v="2039400"/>
    <n v="-5.0980392156862703E-2"/>
    <n v="-13"/>
    <n v="8.4794853801168999E-3"/>
    <n v="255"/>
  </r>
  <r>
    <x v="904"/>
    <d v="1905-07-13T00:00:00"/>
    <x v="7"/>
    <n v="517.13000499999998"/>
    <n v="525.40997300000004"/>
    <n v="514.02002000000005"/>
    <n v="524.89001499999995"/>
    <n v="524.89001499999995"/>
    <n v="7.7600099999999657"/>
    <n v="2556700"/>
    <n v="-3.6423841059602599E-2"/>
    <n v="-11"/>
    <n v="1.5005917129097868E-2"/>
    <n v="302"/>
  </r>
  <r>
    <x v="905"/>
    <d v="1905-07-13T00:00:00"/>
    <x v="7"/>
    <n v="524"/>
    <n v="526.84002699999996"/>
    <n v="519.39001499999995"/>
    <n v="520.54998799999998"/>
    <n v="520.54998799999998"/>
    <n v="-3.4500120000000152"/>
    <n v="1919800"/>
    <n v="-6.6350710900473897E-2"/>
    <n v="-14"/>
    <n v="-6.5839923664122429E-3"/>
    <n v="211"/>
  </r>
  <r>
    <x v="906"/>
    <d v="1905-07-13T00:00:00"/>
    <x v="7"/>
    <n v="521.15002400000003"/>
    <n v="522.669983"/>
    <n v="517.98999000000003"/>
    <n v="519.96997099999999"/>
    <n v="519.96997099999999"/>
    <n v="-1.1800530000000435"/>
    <n v="1367800"/>
    <n v="-5.1282051282051197E-2"/>
    <n v="-8"/>
    <n v="-2.2643249460927656E-3"/>
    <n v="156"/>
  </r>
  <r>
    <x v="907"/>
    <d v="1905-07-13T00:00:00"/>
    <x v="7"/>
    <n v="520"/>
    <n v="520.78997800000002"/>
    <n v="512.96997099999999"/>
    <n v="515.84002699999996"/>
    <n v="515.84002699999996"/>
    <n v="-4.1599730000000363"/>
    <n v="1960500"/>
    <n v="-8.5427135678391899E-2"/>
    <n v="-17"/>
    <n v="-7.9999480769231465E-3"/>
    <n v="199"/>
  </r>
  <r>
    <x v="908"/>
    <d v="1905-07-13T00:00:00"/>
    <x v="7"/>
    <n v="517"/>
    <n v="519.57000700000003"/>
    <n v="509.76998900000001"/>
    <n v="512.40002400000003"/>
    <n v="512.40002400000003"/>
    <n v="-4.5999759999999696"/>
    <n v="1673900"/>
    <n v="-5.8823529411764698E-2"/>
    <n v="-11"/>
    <n v="-8.8974390715666728E-3"/>
    <n v="187"/>
  </r>
  <r>
    <x v="909"/>
    <d v="1905-07-13T00:00:00"/>
    <x v="7"/>
    <n v="511.85998499999999"/>
    <n v="513"/>
    <n v="507.20001200000002"/>
    <n v="510.72000100000002"/>
    <n v="510.72000100000002"/>
    <n v="-1.1399839999999699"/>
    <n v="1685700"/>
    <n v="-2.3041474654377801E-2"/>
    <n v="-5"/>
    <n v="-2.2271402989236791E-3"/>
    <n v="217"/>
  </r>
  <r>
    <x v="910"/>
    <d v="1905-07-13T00:00:00"/>
    <x v="7"/>
    <n v="512.64001499999995"/>
    <n v="521.44000200000005"/>
    <n v="511.51001000000002"/>
    <n v="515.919983"/>
    <n v="515.919983"/>
    <n v="3.2799680000000535"/>
    <n v="2177700"/>
    <n v="-8.2236842105263094E-2"/>
    <n v="-25"/>
    <n v="6.3981895755836652E-3"/>
    <n v="304"/>
  </r>
  <r>
    <x v="911"/>
    <d v="1905-07-13T00:00:00"/>
    <x v="7"/>
    <n v="515.23999000000003"/>
    <n v="523.38000499999998"/>
    <n v="512.29998799999998"/>
    <n v="517.919983"/>
    <n v="517.919983"/>
    <n v="2.6799929999999677"/>
    <n v="2032800"/>
    <n v="-4.4052863436122996E-3"/>
    <n v="-1"/>
    <n v="5.2014460290630152E-3"/>
    <n v="227"/>
  </r>
  <r>
    <x v="912"/>
    <d v="1905-07-13T00:00:00"/>
    <x v="7"/>
    <n v="515.46997099999999"/>
    <n v="520.78997800000002"/>
    <n v="514.20001200000002"/>
    <n v="518.90997300000004"/>
    <n v="518.90997300000004"/>
    <n v="3.4400020000000495"/>
    <n v="2309800"/>
    <n v="-5.1063829787233998E-2"/>
    <n v="-12"/>
    <n v="6.6735255078516484E-3"/>
    <n v="235"/>
  </r>
  <r>
    <x v="913"/>
    <d v="1905-07-13T00:00:00"/>
    <x v="7"/>
    <n v="520"/>
    <n v="526.38000499999998"/>
    <n v="518.65002400000003"/>
    <n v="521.86999500000002"/>
    <n v="521.86999500000002"/>
    <n v="1.8699950000000172"/>
    <n v="2582000"/>
    <n v="-1.2820512820512799E-2"/>
    <n v="-4"/>
    <n v="3.5961442307692638E-3"/>
    <n v="312"/>
  </r>
  <r>
    <x v="914"/>
    <d v="1905-07-13T00:00:00"/>
    <x v="7"/>
    <n v="522.73999000000003"/>
    <n v="548.39001499999995"/>
    <n v="521.86999500000002"/>
    <n v="543.71002199999998"/>
    <n v="543.71002199999998"/>
    <n v="20.970031999999946"/>
    <n v="7497300"/>
    <n v="7.1138211382113003E-3"/>
    <n v="7"/>
    <n v="4.0115606996128123E-2"/>
    <n v="984"/>
  </r>
  <r>
    <x v="915"/>
    <d v="1905-07-13T00:00:00"/>
    <x v="7"/>
    <n v="545.09002699999996"/>
    <n v="551.39001499999995"/>
    <n v="539.09997599999997"/>
    <n v="546.88000499999998"/>
    <n v="546.88000499999998"/>
    <n v="1.7899780000000192"/>
    <n v="3776400"/>
    <n v="3.6697247706422E-2"/>
    <n v="16"/>
    <n v="3.2838208577241484E-3"/>
    <n v="436"/>
  </r>
  <r>
    <x v="916"/>
    <d v="1905-07-13T00:00:00"/>
    <x v="7"/>
    <n v="545.97997999999995"/>
    <n v="555.54998799999998"/>
    <n v="543.73999000000003"/>
    <n v="553.330017"/>
    <n v="553.330017"/>
    <n v="7.350037000000043"/>
    <n v="2602000"/>
    <n v="3.4285714285714197E-2"/>
    <n v="12"/>
    <n v="1.346209983743368E-2"/>
    <n v="350"/>
  </r>
  <r>
    <x v="917"/>
    <d v="1905-07-13T00:00:00"/>
    <x v="7"/>
    <n v="551.47997999999995"/>
    <n v="555.30999799999995"/>
    <n v="549.27002000000005"/>
    <n v="553.40997300000004"/>
    <n v="553.40997300000004"/>
    <n v="1.9299930000000813"/>
    <n v="2109500"/>
    <n v="-3.1690140845070401E-2"/>
    <n v="-9"/>
    <n v="3.4996610393727826E-3"/>
    <n v="284"/>
  </r>
  <r>
    <x v="918"/>
    <d v="1905-07-13T00:00:00"/>
    <x v="7"/>
    <n v="550.15997300000004"/>
    <n v="552.84002699999996"/>
    <n v="545.45001200000002"/>
    <n v="547.580017"/>
    <n v="547.580017"/>
    <n v="-2.5799560000000383"/>
    <n v="2065600"/>
    <n v="-3.4482758620689599E-2"/>
    <n v="-10"/>
    <n v="-4.6894651130863678E-3"/>
    <n v="290"/>
  </r>
  <r>
    <x v="919"/>
    <d v="1905-07-13T00:00:00"/>
    <x v="7"/>
    <n v="546.15997300000004"/>
    <n v="552.59997599999997"/>
    <n v="545.90002400000003"/>
    <n v="550.11999500000002"/>
    <n v="550.11999500000002"/>
    <n v="3.9600219999999808"/>
    <n v="1595500"/>
    <n v="-5.3763440860214999E-2"/>
    <n v="-15"/>
    <n v="7.2506631678773362E-3"/>
    <n v="279"/>
  </r>
  <r>
    <x v="920"/>
    <d v="1905-07-13T00:00:00"/>
    <x v="7"/>
    <n v="551.59997599999997"/>
    <n v="564.169983"/>
    <n v="549.25"/>
    <n v="558.919983"/>
    <n v="558.919983"/>
    <n v="7.3200070000000323"/>
    <n v="3252600"/>
    <n v="9.8522167487684002E-3"/>
    <n v="4"/>
    <n v="1.3270499127070363E-2"/>
    <n v="406"/>
  </r>
  <r>
    <x v="921"/>
    <d v="1905-07-13T00:00:00"/>
    <x v="7"/>
    <n v="557.25"/>
    <n v="567.15997300000004"/>
    <n v="556.45001200000002"/>
    <n v="566.17999299999997"/>
    <n v="566.17999299999997"/>
    <n v="8.9299929999999677"/>
    <n v="2434800"/>
    <n v="-1.7910447761194E-2"/>
    <n v="-6"/>
    <n v="1.602511081202327E-2"/>
    <n v="335"/>
  </r>
  <r>
    <x v="922"/>
    <d v="1905-07-13T00:00:00"/>
    <x v="7"/>
    <n v="566.11999500000002"/>
    <n v="569.47997999999995"/>
    <n v="561.60998500000005"/>
    <n v="569.19000200000005"/>
    <n v="569.19000200000005"/>
    <n v="3.0700070000000323"/>
    <n v="2431900"/>
    <n v="1.71919770773638E-2"/>
    <n v="6"/>
    <n v="5.4228909544168855E-3"/>
    <n v="349"/>
  </r>
  <r>
    <x v="923"/>
    <d v="1905-07-13T00:00:00"/>
    <x v="8"/>
    <n v="569"/>
    <n v="591"/>
    <n v="569"/>
    <n v="582.07000700000003"/>
    <n v="582.07000700000003"/>
    <n v="13.070007000000032"/>
    <n v="5626200"/>
    <n v="1.5364916773367401E-2"/>
    <n v="12"/>
    <n v="2.2970135325131869E-2"/>
    <n v="781"/>
  </r>
  <r>
    <x v="924"/>
    <d v="1905-07-13T00:00:00"/>
    <x v="8"/>
    <n v="583.67999299999997"/>
    <n v="598.76000999999997"/>
    <n v="583.67999299999997"/>
    <n v="588.54998799999998"/>
    <n v="588.54998799999998"/>
    <n v="4.8699950000000172"/>
    <n v="6179900"/>
    <n v="7.4257425742574002E-3"/>
    <n v="6"/>
    <n v="8.3436044723225883E-3"/>
    <n v="808"/>
  </r>
  <r>
    <x v="925"/>
    <d v="1905-07-13T00:00:00"/>
    <x v="8"/>
    <n v="585.79998799999998"/>
    <n v="591.88000499999998"/>
    <n v="583.14001499999995"/>
    <n v="590.53002900000001"/>
    <n v="590.53002900000001"/>
    <n v="4.7300410000000284"/>
    <n v="2681200"/>
    <n v="-4.9261083743842297E-2"/>
    <n v="-20"/>
    <n v="8.0744982876306045E-3"/>
    <n v="406"/>
  </r>
  <r>
    <x v="926"/>
    <d v="1905-07-13T00:00:00"/>
    <x v="8"/>
    <n v="594.69000200000005"/>
    <n v="613.84997599999997"/>
    <n v="593.98999000000003"/>
    <n v="606.71002199999998"/>
    <n v="606.71002199999998"/>
    <n v="12.020019999999931"/>
    <n v="5821400"/>
    <n v="6.6753926701570598E-2"/>
    <n v="51"/>
    <n v="2.0212244967252584E-2"/>
    <n v="764"/>
  </r>
  <r>
    <x v="927"/>
    <d v="1905-07-13T00:00:00"/>
    <x v="8"/>
    <n v="603.84002699999996"/>
    <n v="615.59997599999997"/>
    <n v="595.71002199999998"/>
    <n v="606.04998799999998"/>
    <n v="606.04998799999998"/>
    <n v="2.2099610000000212"/>
    <n v="5424500"/>
    <n v="-2.46045694200351E-2"/>
    <n v="-14"/>
    <n v="3.6598451596187766E-3"/>
    <n v="569"/>
  </r>
  <r>
    <x v="928"/>
    <d v="1905-07-13T00:00:00"/>
    <x v="8"/>
    <n v="606.46997099999999"/>
    <n v="609.44000200000005"/>
    <n v="596.54998799999998"/>
    <n v="597.53997800000002"/>
    <n v="597.53997800000002"/>
    <n v="-8.9299929999999677"/>
    <n v="2954200"/>
    <n v="-0.113157894736842"/>
    <n v="-43"/>
    <n v="-1.4724542725957931E-2"/>
    <n v="380"/>
  </r>
  <r>
    <x v="929"/>
    <d v="1905-07-13T00:00:00"/>
    <x v="8"/>
    <n v="598.15997300000004"/>
    <n v="609.45001200000002"/>
    <n v="593.669983"/>
    <n v="598.71997099999999"/>
    <n v="598.71997099999999"/>
    <n v="0.55999799999995048"/>
    <n v="3950800"/>
    <n v="-4.7058823529411702E-2"/>
    <n v="-20"/>
    <n v="9.3620105870900598E-4"/>
    <n v="425"/>
  </r>
  <r>
    <x v="930"/>
    <d v="1905-07-13T00:00:00"/>
    <x v="8"/>
    <n v="598.57000700000003"/>
    <n v="598.57000700000003"/>
    <n v="582.78002900000001"/>
    <n v="589.28997800000002"/>
    <n v="589.28997800000002"/>
    <n v="-9.2800290000000132"/>
    <n v="3062900"/>
    <n v="-6.1007957559681698E-2"/>
    <n v="-23"/>
    <n v="-1.5503665221234536E-2"/>
    <n v="377"/>
  </r>
  <r>
    <x v="931"/>
    <d v="1905-07-13T00:00:00"/>
    <x v="8"/>
    <n v="584.89001499999995"/>
    <n v="587.28002900000001"/>
    <n v="575.55999799999995"/>
    <n v="577.76000999999997"/>
    <n v="577.76000999999997"/>
    <n v="-7.1300049999999828"/>
    <n v="3457000"/>
    <n v="-0.10666666666666599"/>
    <n v="-32"/>
    <n v="-1.2190334622142564E-2"/>
    <n v="300"/>
  </r>
  <r>
    <x v="932"/>
    <d v="1905-07-13T00:00:00"/>
    <x v="8"/>
    <n v="578.169983"/>
    <n v="584.61999500000002"/>
    <n v="575.36999500000002"/>
    <n v="582.86999500000002"/>
    <n v="582.86999500000002"/>
    <n v="4.7000120000000152"/>
    <n v="2755600"/>
    <n v="-6.7340067340066999E-3"/>
    <n v="-2"/>
    <n v="8.1291179725600099E-3"/>
    <n v="297"/>
  </r>
  <r>
    <x v="933"/>
    <d v="1905-07-13T00:00:00"/>
    <x v="8"/>
    <n v="584.29998799999998"/>
    <n v="587.47997999999995"/>
    <n v="577.71997099999999"/>
    <n v="586.5"/>
    <n v="586.5"/>
    <n v="2.2000120000000152"/>
    <n v="1832000"/>
    <n v="-1.9379844961240299E-2"/>
    <n v="-5"/>
    <n v="3.7652097299033576E-3"/>
    <n v="258"/>
  </r>
  <r>
    <x v="934"/>
    <d v="1905-07-13T00:00:00"/>
    <x v="8"/>
    <n v="587.84997599999997"/>
    <n v="590.28002900000001"/>
    <n v="580.84997599999997"/>
    <n v="589.34997599999997"/>
    <n v="589.34997599999997"/>
    <n v="1.5"/>
    <n v="4145100"/>
    <n v="-2.78745644599303E-2"/>
    <n v="-8"/>
    <n v="2.5516714489072297E-3"/>
    <n v="287"/>
  </r>
  <r>
    <x v="935"/>
    <d v="1905-07-13T00:00:00"/>
    <x v="8"/>
    <n v="586.78997800000002"/>
    <n v="591.53002900000001"/>
    <n v="568.080017"/>
    <n v="575.42999299999997"/>
    <n v="575.42999299999997"/>
    <n v="-11.359985000000052"/>
    <n v="3732200"/>
    <n v="-6.5714285714285697E-2"/>
    <n v="-23"/>
    <n v="-1.9359541617801884E-2"/>
    <n v="350"/>
  </r>
  <r>
    <x v="936"/>
    <d v="1905-07-13T00:00:00"/>
    <x v="8"/>
    <n v="578.30999799999995"/>
    <n v="581.88000499999998"/>
    <n v="569.36999500000002"/>
    <n v="573.14001499999995"/>
    <n v="573.14001499999995"/>
    <n v="-5.169983000000002"/>
    <n v="2250900"/>
    <n v="-6.2015503875968901E-2"/>
    <n v="-16"/>
    <n v="-8.9398125881959972E-3"/>
    <n v="258"/>
  </r>
  <r>
    <x v="937"/>
    <d v="1905-07-13T00:00:00"/>
    <x v="8"/>
    <n v="579.69000200000005"/>
    <n v="595.65002400000003"/>
    <n v="579.69000200000005"/>
    <n v="590.65002400000003"/>
    <n v="590.65002400000003"/>
    <n v="10.960021999999981"/>
    <n v="4021800"/>
    <n v="4.0983606557376998E-2"/>
    <n v="20"/>
    <n v="1.890669489241938E-2"/>
    <n v="488"/>
  </r>
  <r>
    <x v="938"/>
    <d v="1905-07-13T00:00:00"/>
    <x v="8"/>
    <n v="590.78997800000002"/>
    <n v="599.32000700000003"/>
    <n v="589.13000499999998"/>
    <n v="593.26000999999997"/>
    <n v="593.26000999999997"/>
    <n v="2.4700319999999465"/>
    <n v="2526200"/>
    <n v="4.33734939759036E-2"/>
    <n v="18"/>
    <n v="4.1808969210373886E-3"/>
    <n v="415"/>
  </r>
  <r>
    <x v="939"/>
    <d v="1905-07-13T00:00:00"/>
    <x v="8"/>
    <n v="592.5"/>
    <n v="592.97997999999995"/>
    <n v="583.64001499999995"/>
    <n v="592.39001499999995"/>
    <n v="592.39001499999995"/>
    <n v="-0.10998500000005151"/>
    <n v="2126200"/>
    <n v="-3.2921810699588397E-2"/>
    <n v="-8"/>
    <n v="-1.856286919832093E-4"/>
    <n v="243"/>
  </r>
  <r>
    <x v="940"/>
    <d v="1905-07-13T00:00:00"/>
    <x v="8"/>
    <n v="587.95001200000002"/>
    <n v="593.580017"/>
    <n v="576.92999299999997"/>
    <n v="592.64001499999995"/>
    <n v="592.64001499999995"/>
    <n v="4.6900029999999333"/>
    <n v="2504700"/>
    <n v="1.40056022408963E-2"/>
    <n v="5"/>
    <n v="7.9768737210263608E-3"/>
    <n v="357"/>
  </r>
  <r>
    <x v="941"/>
    <d v="1905-07-13T00:00:00"/>
    <x v="8"/>
    <n v="589"/>
    <n v="599.53997800000002"/>
    <n v="580.15997300000004"/>
    <n v="583.84997599999997"/>
    <n v="583.84997599999997"/>
    <n v="-5.1500240000000304"/>
    <n v="4431100"/>
    <n v="-0.04"/>
    <n v="-17"/>
    <n v="-8.7436740237691515E-3"/>
    <n v="425"/>
  </r>
  <r>
    <x v="942"/>
    <d v="1905-07-13T00:00:00"/>
    <x v="8"/>
    <n v="589.01000999999997"/>
    <n v="609.88000499999998"/>
    <n v="588.01000999999997"/>
    <n v="599.05999799999995"/>
    <n v="599.05999799999995"/>
    <n v="10.049987999999985"/>
    <n v="6221000"/>
    <n v="-7.9155672823219003E-3"/>
    <n v="-6"/>
    <n v="1.7062507986918569E-2"/>
    <n v="758"/>
  </r>
  <r>
    <x v="943"/>
    <d v="1905-07-13T00:00:00"/>
    <x v="8"/>
    <n v="608.04998799999998"/>
    <n v="619"/>
    <n v="608.04998799999998"/>
    <n v="610.34002699999996"/>
    <n v="610.34002699999996"/>
    <n v="2.2900389999999788"/>
    <n v="6612600"/>
    <n v="1.9635343618513299E-2"/>
    <n v="14"/>
    <n v="3.7662018669425232E-3"/>
    <n v="713"/>
  </r>
  <r>
    <x v="944"/>
    <d v="1905-07-13T00:00:00"/>
    <x v="9"/>
    <n v="604.23999000000003"/>
    <n v="614.98999000000003"/>
    <n v="597.51000999999997"/>
    <n v="613.15002400000003"/>
    <n v="613.15002400000003"/>
    <n v="8.910033999999996"/>
    <n v="4090800"/>
    <n v="-5.3278688524590098E-2"/>
    <n v="-26"/>
    <n v="1.4745852885374229E-2"/>
    <n v="488"/>
  </r>
  <r>
    <x v="945"/>
    <d v="1905-07-13T00:00:00"/>
    <x v="9"/>
    <n v="613.39001499999995"/>
    <n v="626.13000499999998"/>
    <n v="594.67999299999997"/>
    <n v="603.34997599999997"/>
    <n v="603.34997599999997"/>
    <n v="-10.040038999999979"/>
    <n v="4995900"/>
    <n v="-7.9457364341085204E-2"/>
    <n v="-41"/>
    <n v="-1.6368116132441411E-2"/>
    <n v="516"/>
  </r>
  <r>
    <x v="946"/>
    <d v="1905-07-13T00:00:00"/>
    <x v="9"/>
    <n v="606.94000200000005"/>
    <n v="640.39001499999995"/>
    <n v="606.89001499999995"/>
    <n v="634.80999799999995"/>
    <n v="634.80999799999995"/>
    <n v="27.869995999999901"/>
    <n v="9534300"/>
    <n v="1.57635467980295E-2"/>
    <n v="16"/>
    <n v="4.5918864975388288E-2"/>
    <n v="1015"/>
  </r>
  <r>
    <x v="947"/>
    <d v="1905-07-13T00:00:00"/>
    <x v="9"/>
    <n v="628.17999299999997"/>
    <n v="639.86999500000002"/>
    <n v="626.35998500000005"/>
    <n v="639.09997599999997"/>
    <n v="639.09997599999997"/>
    <n v="10.919983000000002"/>
    <n v="4580400"/>
    <n v="-4.6232876712328702E-2"/>
    <n v="-27"/>
    <n v="1.7383525616359453E-2"/>
    <n v="584"/>
  </r>
  <r>
    <x v="948"/>
    <d v="1905-07-13T00:00:00"/>
    <x v="9"/>
    <n v="642.22997999999995"/>
    <n v="646.84002699999996"/>
    <n v="630.45001200000002"/>
    <n v="631.84997599999997"/>
    <n v="631.84997599999997"/>
    <n v="-10.380003999999985"/>
    <n v="3556900"/>
    <n v="-1.6260162601626001E-2"/>
    <n v="-8"/>
    <n v="-1.616244075058593E-2"/>
    <n v="492"/>
  </r>
  <r>
    <x v="949"/>
    <d v="1905-07-13T00:00:00"/>
    <x v="9"/>
    <n v="634.169983"/>
    <n v="643.79998799999998"/>
    <n v="630.85998500000005"/>
    <n v="632.65997300000004"/>
    <n v="632.65997300000004"/>
    <n v="-1.5100099999999657"/>
    <n v="3272100"/>
    <n v="-7.5987841945288695E-2"/>
    <n v="-25"/>
    <n v="-2.38108084658426E-3"/>
    <n v="329"/>
  </r>
  <r>
    <x v="950"/>
    <d v="1905-07-13T00:00:00"/>
    <x v="9"/>
    <n v="633.20001200000002"/>
    <n v="639.419983"/>
    <n v="626.78002900000001"/>
    <n v="627.03997800000002"/>
    <n v="627.03997800000002"/>
    <n v="-6.160033999999996"/>
    <n v="2862500"/>
    <n v="-6.8027210884353706E-2"/>
    <n v="-30"/>
    <n v="-9.7284173772251847E-3"/>
    <n v="441"/>
  </r>
  <r>
    <x v="951"/>
    <d v="1905-07-13T00:00:00"/>
    <x v="9"/>
    <n v="633.02002000000005"/>
    <n v="637.65997300000004"/>
    <n v="621.98999000000003"/>
    <n v="624.94000200000005"/>
    <n v="624.94000200000005"/>
    <n v="-8.0800179999999955"/>
    <n v="3227300"/>
    <n v="-5.4495912806539502E-2"/>
    <n v="-20"/>
    <n v="-1.2764237693461883E-2"/>
    <n v="367"/>
  </r>
  <r>
    <x v="952"/>
    <d v="1905-07-13T00:00:00"/>
    <x v="9"/>
    <n v="632.17999299999997"/>
    <n v="632.17999299999997"/>
    <n v="622.09997599999997"/>
    <n v="629.76000999999997"/>
    <n v="629.76000999999997"/>
    <n v="-2.419983000000002"/>
    <n v="2420300"/>
    <n v="-4.7619047619047603E-2"/>
    <n v="-17"/>
    <n v="-3.827996815457591E-3"/>
    <n v="357"/>
  </r>
  <r>
    <x v="953"/>
    <d v="1905-07-13T00:00:00"/>
    <x v="9"/>
    <n v="632.22997999999995"/>
    <n v="636.88000499999998"/>
    <n v="626.78997800000002"/>
    <n v="633.79998799999998"/>
    <n v="633.79998799999998"/>
    <n v="1.5700080000000298"/>
    <n v="2671700"/>
    <n v="-2.6369168356997898E-2"/>
    <n v="-13"/>
    <n v="2.4832862244211036E-3"/>
    <n v="493"/>
  </r>
  <r>
    <x v="954"/>
    <d v="1905-07-13T00:00:00"/>
    <x v="9"/>
    <n v="638"/>
    <n v="639.419983"/>
    <n v="625.15997300000004"/>
    <n v="628.28997800000002"/>
    <n v="628.28997800000002"/>
    <n v="-9.7100219999999808"/>
    <n v="4116900"/>
    <n v="-7.2916666666666602E-2"/>
    <n v="-35"/>
    <n v="-1.5219470219435706E-2"/>
    <n v="480"/>
  </r>
  <r>
    <x v="955"/>
    <d v="1905-07-13T00:00:00"/>
    <x v="9"/>
    <n v="632.09997599999997"/>
    <n v="638.40997300000004"/>
    <n v="620.59002699999996"/>
    <n v="637.96997099999999"/>
    <n v="637.96997099999999"/>
    <n v="5.8699950000000172"/>
    <n v="4669100"/>
    <n v="-1.45310435931307E-2"/>
    <n v="-11"/>
    <n v="9.2864977422495859E-3"/>
    <n v="757"/>
  </r>
  <r>
    <x v="956"/>
    <d v="1905-07-13T00:00:00"/>
    <x v="9"/>
    <n v="636.96997099999999"/>
    <n v="641"/>
    <n v="632.29998799999998"/>
    <n v="639"/>
    <n v="639"/>
    <n v="2.0300290000000132"/>
    <n v="7633100"/>
    <n v="-4.1522491349480897E-2"/>
    <n v="-72"/>
    <n v="3.1870089524204796E-3"/>
    <n v="1734"/>
  </r>
  <r>
    <x v="957"/>
    <d v="1905-07-13T00:00:00"/>
    <x v="9"/>
    <n v="625.57000700000003"/>
    <n v="637.40002400000003"/>
    <n v="617.15002400000003"/>
    <n v="625.14001499999995"/>
    <n v="625.14001499999995"/>
    <n v="-0.42999200000008386"/>
    <n v="10622000"/>
    <n v="-5.0997782705099699E-2"/>
    <n v="-69"/>
    <n v="-6.8736031969014115E-4"/>
    <n v="1353"/>
  </r>
  <r>
    <x v="958"/>
    <d v="1905-07-13T00:00:00"/>
    <x v="9"/>
    <n v="628.89001499999995"/>
    <n v="654.01000999999997"/>
    <n v="628.65002400000003"/>
    <n v="653.15997300000004"/>
    <n v="653.15997300000004"/>
    <n v="24.269958000000088"/>
    <n v="8437100"/>
    <n v="1.3157894736842099E-2"/>
    <n v="10"/>
    <n v="3.8591736903312246E-2"/>
    <n v="760"/>
  </r>
  <r>
    <x v="959"/>
    <d v="1905-07-13T00:00:00"/>
    <x v="9"/>
    <n v="651.80999799999995"/>
    <n v="665.46002199999998"/>
    <n v="651.80999799999995"/>
    <n v="664.78002900000001"/>
    <n v="664.78002900000001"/>
    <n v="12.970031000000063"/>
    <n v="6186000"/>
    <n v="-2.4074074074074001E-2"/>
    <n v="-13"/>
    <n v="1.9898484281918094E-2"/>
    <n v="540"/>
  </r>
  <r>
    <x v="960"/>
    <d v="1905-07-13T00:00:00"/>
    <x v="9"/>
    <n v="663.73999000000003"/>
    <n v="675.88000499999998"/>
    <n v="657.07000700000003"/>
    <n v="671.65997300000004"/>
    <n v="671.65997300000004"/>
    <n v="7.919983000000002"/>
    <n v="3833500"/>
    <n v="9.0702947845804002E-3"/>
    <n v="4"/>
    <n v="1.1932357729417512E-2"/>
    <n v="441"/>
  </r>
  <r>
    <x v="961"/>
    <d v="1905-07-13T00:00:00"/>
    <x v="9"/>
    <n v="673.76000999999997"/>
    <n v="676.48999000000003"/>
    <n v="662.77002000000005"/>
    <n v="668.52002000000005"/>
    <n v="668.52002000000005"/>
    <n v="-5.2399899999999207"/>
    <n v="2904800"/>
    <n v="-5.1724137931034399E-2"/>
    <n v="-18"/>
    <n v="-7.7772351018575905E-3"/>
    <n v="348"/>
  </r>
  <r>
    <x v="962"/>
    <d v="1905-07-13T00:00:00"/>
    <x v="9"/>
    <n v="669"/>
    <n v="671.40997300000004"/>
    <n v="661.84997599999997"/>
    <n v="662.919983"/>
    <n v="662.919983"/>
    <n v="-6.080016999999998"/>
    <n v="2276900"/>
    <n v="-6.3432835820895497E-2"/>
    <n v="-17"/>
    <n v="-9.0882167414050793E-3"/>
    <n v="268"/>
  </r>
  <r>
    <x v="963"/>
    <d v="1905-07-13T00:00:00"/>
    <x v="9"/>
    <n v="670.95001200000002"/>
    <n v="676.79998799999998"/>
    <n v="668.03002900000001"/>
    <n v="674.04998799999998"/>
    <n v="674.04998799999998"/>
    <n v="3.0999759999999696"/>
    <n v="2859400"/>
    <n v="-9.0666666666666604E-2"/>
    <n v="-34"/>
    <n v="4.6202786266586575E-3"/>
    <n v="375"/>
  </r>
  <r>
    <x v="964"/>
    <d v="1905-07-13T00:00:00"/>
    <x v="9"/>
    <n v="673.05999799999995"/>
    <n v="690.96997099999999"/>
    <n v="671.23999000000003"/>
    <n v="690.30999799999995"/>
    <n v="690.30999799999995"/>
    <n v="17.25"/>
    <n v="3825300"/>
    <n v="1.8442622950819599E-2"/>
    <n v="9"/>
    <n v="2.5629215896440783E-2"/>
    <n v="488"/>
  </r>
  <r>
    <x v="965"/>
    <d v="1905-07-13T00:00:00"/>
    <x v="10"/>
    <n v="689.05999799999995"/>
    <n v="689.96997099999999"/>
    <n v="676.53997800000002"/>
    <n v="681.169983"/>
    <n v="681.169983"/>
    <n v="-7.8900149999999485"/>
    <n v="3110900"/>
    <n v="-7.2289156626505993E-2"/>
    <n v="-24"/>
    <n v="-1.1450403481410553E-2"/>
    <n v="332"/>
  </r>
  <r>
    <x v="966"/>
    <d v="1905-07-13T00:00:00"/>
    <x v="10"/>
    <n v="683.10998500000005"/>
    <n v="687.67999299999997"/>
    <n v="673.82000700000003"/>
    <n v="677.71997099999999"/>
    <n v="677.71997099999999"/>
    <n v="-5.3900140000000647"/>
    <n v="3888600"/>
    <n v="-8.0851063829787198E-2"/>
    <n v="-38"/>
    <n v="-7.8904043541393482E-3"/>
    <n v="470"/>
  </r>
  <r>
    <x v="967"/>
    <d v="1905-07-13T00:00:00"/>
    <x v="10"/>
    <n v="677.27002000000005"/>
    <n v="689.39001499999995"/>
    <n v="677.27002000000005"/>
    <n v="688.28997800000002"/>
    <n v="688.28997800000002"/>
    <n v="11.019957999999974"/>
    <n v="2334900"/>
    <n v="-5.2369077306733097E-2"/>
    <n v="-21"/>
    <n v="1.6271143967069402E-2"/>
    <n v="401"/>
  </r>
  <r>
    <x v="968"/>
    <d v="1905-07-13T00:00:00"/>
    <x v="10"/>
    <n v="685.89001499999995"/>
    <n v="685.94000200000005"/>
    <n v="665.5"/>
    <n v="668.40002400000003"/>
    <n v="668.40002400000003"/>
    <n v="-17.489990999999918"/>
    <n v="4865000"/>
    <n v="-6.0773480662983402E-2"/>
    <n v="-22"/>
    <n v="-2.5499702018551645E-2"/>
    <n v="362"/>
  </r>
  <r>
    <x v="969"/>
    <d v="1905-07-13T00:00:00"/>
    <x v="10"/>
    <n v="663.96997099999999"/>
    <n v="665.64001499999995"/>
    <n v="645.01000999999997"/>
    <n v="645.71997099999999"/>
    <n v="645.71997099999999"/>
    <n v="-18.25"/>
    <n v="5283500"/>
    <n v="-5.9405940594059403E-2"/>
    <n v="-18"/>
    <n v="-2.7486182805095564E-2"/>
    <n v="303"/>
  </r>
  <r>
    <x v="970"/>
    <d v="1905-07-13T00:00:00"/>
    <x v="10"/>
    <n v="650.28997800000002"/>
    <n v="656"/>
    <n v="643.78997800000002"/>
    <n v="651.45001200000002"/>
    <n v="651.45001200000002"/>
    <n v="1.160033999999996"/>
    <n v="2887500"/>
    <n v="-3.5598705501618103E-2"/>
    <n v="-11"/>
    <n v="1.7838718713884224E-3"/>
    <n v="309"/>
  </r>
  <r>
    <x v="971"/>
    <d v="1905-07-13T00:00:00"/>
    <x v="10"/>
    <n v="653.70001200000002"/>
    <n v="660.5"/>
    <n v="650.52002000000005"/>
    <n v="655.98999000000003"/>
    <n v="655.98999000000003"/>
    <n v="2.2899780000000192"/>
    <n v="2415600"/>
    <n v="-2.90237467018469E-2"/>
    <n v="-11"/>
    <n v="3.5031022762166005E-3"/>
    <n v="379"/>
  </r>
  <r>
    <x v="972"/>
    <d v="1905-07-13T00:00:00"/>
    <x v="10"/>
    <n v="653.01000999999997"/>
    <n v="660.330017"/>
    <n v="642.10998500000005"/>
    <n v="646.90997300000004"/>
    <n v="646.90997300000004"/>
    <n v="-6.1000369999999293"/>
    <n v="2405800"/>
    <n v="-0.11824324324324299"/>
    <n v="-35"/>
    <n v="-9.3414142303881835E-3"/>
    <n v="296"/>
  </r>
  <r>
    <x v="973"/>
    <d v="1905-07-13T00:00:00"/>
    <x v="10"/>
    <n v="650.23999000000003"/>
    <n v="665.82000700000003"/>
    <n v="649.71002199999998"/>
    <n v="657.580017"/>
    <n v="657.580017"/>
    <n v="7.3400269999999637"/>
    <n v="2868300"/>
    <n v="-0.10730593607305899"/>
    <n v="-47"/>
    <n v="1.1288181460509625E-2"/>
    <n v="438"/>
  </r>
  <r>
    <x v="974"/>
    <d v="1905-07-13T00:00:00"/>
    <x v="10"/>
    <n v="660.01000999999997"/>
    <n v="683.34002699999996"/>
    <n v="653.82000700000003"/>
    <n v="682.60998500000005"/>
    <n v="682.60998500000005"/>
    <n v="22.599975000000086"/>
    <n v="4198400"/>
    <n v="-3.5714285714285698E-2"/>
    <n v="-16"/>
    <n v="3.4241867028653228E-2"/>
    <n v="448"/>
  </r>
  <r>
    <x v="975"/>
    <d v="1905-07-13T00:00:00"/>
    <x v="10"/>
    <n v="681.23999000000003"/>
    <n v="685.26000999999997"/>
    <n v="671.48999000000003"/>
    <n v="679.330017"/>
    <n v="679.330017"/>
    <n v="-1.9099730000000363"/>
    <n v="2872200"/>
    <n v="-7.2639225181597997E-3"/>
    <n v="-3"/>
    <n v="-2.8036712877058732E-3"/>
    <n v="413"/>
  </r>
  <r>
    <x v="976"/>
    <d v="1905-07-13T00:00:00"/>
    <x v="10"/>
    <n v="678.27002000000005"/>
    <n v="688.35998500000005"/>
    <n v="676.90002400000003"/>
    <n v="687.40002400000003"/>
    <n v="687.40002400000003"/>
    <n v="9.1300039999999854"/>
    <n v="2077400"/>
    <n v="-6.5830721003134696E-2"/>
    <n v="-21"/>
    <n v="1.3460721734391246E-2"/>
    <n v="319"/>
  </r>
  <r>
    <x v="977"/>
    <d v="1905-07-13T00:00:00"/>
    <x v="10"/>
    <n v="690"/>
    <n v="700.98999000000003"/>
    <n v="686.09002699999996"/>
    <n v="691.69000200000005"/>
    <n v="691.69000200000005"/>
    <n v="1.6900020000000495"/>
    <n v="2732800"/>
    <n v="-2.6128266033254102E-2"/>
    <n v="-11"/>
    <n v="2.4492782608696371E-3"/>
    <n v="421"/>
  </r>
  <r>
    <x v="978"/>
    <d v="1905-07-13T00:00:00"/>
    <x v="10"/>
    <n v="691.60998500000005"/>
    <n v="691.73999000000003"/>
    <n v="679.73999000000003"/>
    <n v="682.02002000000005"/>
    <n v="682.02002000000005"/>
    <n v="-9.5899650000000065"/>
    <n v="2012900"/>
    <n v="-0.105849582172701"/>
    <n v="-38"/>
    <n v="-1.3866145960862618E-2"/>
    <n v="359"/>
  </r>
  <r>
    <x v="979"/>
    <d v="1905-07-13T00:00:00"/>
    <x v="10"/>
    <n v="692.34997599999997"/>
    <n v="694.15997300000004"/>
    <n v="675"/>
    <n v="678.79998799999998"/>
    <n v="678.79998799999998"/>
    <n v="-13.549987999999985"/>
    <n v="2613700"/>
    <n v="-6.4285714285714196E-2"/>
    <n v="-18"/>
    <n v="-1.9571009561210682E-2"/>
    <n v="280"/>
  </r>
  <r>
    <x v="980"/>
    <d v="1905-07-13T00:00:00"/>
    <x v="10"/>
    <n v="676.02002000000005"/>
    <n v="679.47997999999995"/>
    <n v="656.46997099999999"/>
    <n v="659.20001200000002"/>
    <n v="659.20001200000002"/>
    <n v="-16.82000800000003"/>
    <n v="2764400"/>
    <n v="-7.7205882352941096E-2"/>
    <n v="-21"/>
    <n v="-2.4880931780689022E-2"/>
    <n v="272"/>
  </r>
  <r>
    <x v="981"/>
    <d v="1905-07-13T00:00:00"/>
    <x v="10"/>
    <n v="658.17999299999997"/>
    <n v="666.42999299999997"/>
    <n v="646.04998799999998"/>
    <n v="654.05999799999995"/>
    <n v="654.05999799999995"/>
    <n v="-4.1199950000000172"/>
    <n v="2320200"/>
    <n v="-9.1254752851711002E-2"/>
    <n v="-24"/>
    <n v="-6.2596782701050853E-3"/>
    <n v="263"/>
  </r>
  <r>
    <x v="982"/>
    <d v="1905-07-13T00:00:00"/>
    <x v="10"/>
    <n v="658.01000999999997"/>
    <n v="661.44000200000005"/>
    <n v="651.09997599999997"/>
    <n v="658.28997800000002"/>
    <n v="658.28997800000002"/>
    <n v="0.27996800000005351"/>
    <n v="1867300"/>
    <n v="-6.8669527896995694E-2"/>
    <n v="-16"/>
    <n v="4.2547680999572261E-4"/>
    <n v="233"/>
  </r>
  <r>
    <x v="983"/>
    <d v="1905-07-13T00:00:00"/>
    <x v="10"/>
    <n v="675"/>
    <n v="676.40997300000004"/>
    <n v="660.669983"/>
    <n v="665.64001499999995"/>
    <n v="665.64001499999995"/>
    <n v="-9.3599850000000515"/>
    <n v="2872500"/>
    <n v="-8.7349397590361394E-2"/>
    <n v="-29"/>
    <n v="-1.386664444444452E-2"/>
    <n v="332"/>
  </r>
  <r>
    <x v="984"/>
    <d v="1905-07-13T00:00:00"/>
    <x v="10"/>
    <n v="663.20001200000002"/>
    <n v="667.98999000000003"/>
    <n v="658.28997800000002"/>
    <n v="663.84002699999996"/>
    <n v="663.84002699999996"/>
    <n v="0.64001499999994849"/>
    <n v="2529400"/>
    <n v="-8.7136929460580895E-2"/>
    <n v="-21"/>
    <n v="9.6504069423923426E-4"/>
    <n v="241"/>
  </r>
  <r>
    <x v="985"/>
    <d v="1905-07-13T00:00:00"/>
    <x v="10"/>
    <n v="668.20001200000002"/>
    <n v="675.38000499999998"/>
    <n v="640.01000999999997"/>
    <n v="641.90002400000003"/>
    <n v="641.90002400000003"/>
    <n v="-26.299987999999985"/>
    <n v="5608900"/>
    <n v="-6.19469026548672E-2"/>
    <n v="-21"/>
    <n v="-3.9359454546073827E-2"/>
    <n v="339"/>
  </r>
  <r>
    <x v="986"/>
    <d v="1905-07-13T00:00:00"/>
    <x v="11"/>
    <n v="649.47997999999995"/>
    <n v="654.52002000000005"/>
    <n v="617.07000700000003"/>
    <n v="617.77002000000005"/>
    <n v="617.77002000000005"/>
    <n v="-31.70995999999991"/>
    <n v="3882800"/>
    <n v="-9.6875000000000003E-2"/>
    <n v="-31"/>
    <n v="-4.882361423981061E-2"/>
    <n v="320"/>
  </r>
  <r>
    <x v="987"/>
    <d v="1905-07-13T00:00:00"/>
    <x v="11"/>
    <n v="617.09997599999997"/>
    <n v="625.35998500000005"/>
    <n v="612.88000499999998"/>
    <n v="616.46997099999999"/>
    <n v="616.46997099999999"/>
    <n v="-0.63000499999998283"/>
    <n v="3331100"/>
    <n v="-0.11570247933884199"/>
    <n v="-28"/>
    <n v="-1.020912371579776E-3"/>
    <n v="242"/>
  </r>
  <r>
    <x v="988"/>
    <d v="1905-07-13T00:00:00"/>
    <x v="11"/>
    <n v="622.75"/>
    <n v="625.5"/>
    <n v="594"/>
    <n v="602.13000499999998"/>
    <n v="602.13000499999998"/>
    <n v="-20.619995000000017"/>
    <n v="4829300"/>
    <n v="-0.152249134948096"/>
    <n v="-44"/>
    <n v="-3.3111192292252137E-2"/>
    <n v="289"/>
  </r>
  <r>
    <x v="989"/>
    <d v="1905-07-13T00:00:00"/>
    <x v="11"/>
    <n v="606.01000999999997"/>
    <n v="617.28997800000002"/>
    <n v="601"/>
    <n v="612.69000200000005"/>
    <n v="612.69000200000005"/>
    <n v="6.6799920000000839"/>
    <n v="3075700"/>
    <n v="-9.7014925373134303E-2"/>
    <n v="-26"/>
    <n v="1.1022907030859249E-2"/>
    <n v="268"/>
  </r>
  <r>
    <x v="990"/>
    <d v="1905-07-13T00:00:00"/>
    <x v="11"/>
    <n v="619.830017"/>
    <n v="628.89001499999995"/>
    <n v="611.40002400000003"/>
    <n v="625.580017"/>
    <n v="625.580017"/>
    <n v="5.75"/>
    <n v="3125200"/>
    <n v="-3.5031847133757898E-2"/>
    <n v="-11"/>
    <n v="9.2767369154372527E-3"/>
    <n v="314"/>
  </r>
  <r>
    <x v="991"/>
    <d v="1905-07-13T00:00:00"/>
    <x v="11"/>
    <n v="630"/>
    <n v="632.46002199999998"/>
    <n v="623.20001200000002"/>
    <n v="628.080017"/>
    <n v="628.080017"/>
    <n v="-1.919983000000002"/>
    <n v="2220300"/>
    <n v="-5.0632911392405E-2"/>
    <n v="-12"/>
    <n v="-3.0475920634920666E-3"/>
    <n v="237"/>
  </r>
  <r>
    <x v="992"/>
    <d v="1905-07-13T00:00:00"/>
    <x v="11"/>
    <n v="627.580017"/>
    <n v="630.23999000000003"/>
    <n v="610.44000200000005"/>
    <n v="611"/>
    <n v="611"/>
    <n v="-16.580016999999998"/>
    <n v="2376300"/>
    <n v="-0.15300546448087399"/>
    <n v="-28"/>
    <n v="-2.6418968977465065E-2"/>
    <n v="183"/>
  </r>
  <r>
    <x v="993"/>
    <d v="1905-07-13T00:00:00"/>
    <x v="11"/>
    <n v="616.78002900000001"/>
    <n v="617.73999000000003"/>
    <n v="605.88000499999998"/>
    <n v="611.65997300000004"/>
    <n v="611.65997300000004"/>
    <n v="-5.1200559999999768"/>
    <n v="2748800"/>
    <n v="-0.15048543689320301"/>
    <n v="-31"/>
    <n v="-8.3012674847809907E-3"/>
    <n v="206"/>
  </r>
  <r>
    <x v="994"/>
    <d v="1905-07-13T00:00:00"/>
    <x v="11"/>
    <n v="612"/>
    <n v="612.64001499999995"/>
    <n v="599.52002000000005"/>
    <n v="604.55999799999995"/>
    <n v="604.55999799999995"/>
    <n v="-7.4400020000000495"/>
    <n v="2517900"/>
    <n v="-7.2519083969465603E-2"/>
    <n v="-19"/>
    <n v="-1.2156866013071976E-2"/>
    <n v="262"/>
  </r>
  <r>
    <x v="995"/>
    <d v="1905-07-13T00:00:00"/>
    <x v="11"/>
    <n v="598.71002199999998"/>
    <n v="602.28997800000002"/>
    <n v="588.13000499999998"/>
    <n v="597.98999000000003"/>
    <n v="597.98999000000003"/>
    <n v="-0.72003199999994649"/>
    <n v="2984500"/>
    <n v="-0.111464968152866"/>
    <n v="-35"/>
    <n v="-1.2026389630069472E-3"/>
    <n v="314"/>
  </r>
  <r>
    <x v="996"/>
    <d v="1905-07-13T00:00:00"/>
    <x v="11"/>
    <n v="598.17999299999997"/>
    <n v="605.69000200000005"/>
    <n v="584.51000999999997"/>
    <n v="605.03997800000002"/>
    <n v="605.03997800000002"/>
    <n v="6.8599850000000515"/>
    <n v="2866200"/>
    <n v="-2.9739776951672799E-2"/>
    <n v="-8"/>
    <n v="1.1468095022028014E-2"/>
    <n v="269"/>
  </r>
  <r>
    <x v="997"/>
    <d v="1905-07-13T00:00:00"/>
    <x v="11"/>
    <n v="597.09002699999996"/>
    <n v="602.830017"/>
    <n v="588"/>
    <n v="591.05999799999995"/>
    <n v="591.05999799999995"/>
    <n v="-6.0300290000000132"/>
    <n v="3143200"/>
    <n v="-6.9105691056910501E-2"/>
    <n v="-17"/>
    <n v="-1.0099028165479664E-2"/>
    <n v="246"/>
  </r>
  <r>
    <x v="998"/>
    <d v="1905-07-13T00:00:00"/>
    <x v="11"/>
    <n v="591.60998500000005"/>
    <n v="593.25"/>
    <n v="581.73999000000003"/>
    <n v="586.72997999999995"/>
    <n v="586.72997999999995"/>
    <n v="-4.8800050000000965"/>
    <n v="4386900"/>
    <n v="-7.7253218884120095E-2"/>
    <n v="-18"/>
    <n v="-8.2486859987667312E-3"/>
    <n v="233"/>
  </r>
  <r>
    <x v="999"/>
    <d v="1905-07-13T00:00:00"/>
    <x v="11"/>
    <n v="586.42999299999997"/>
    <n v="602.88000499999998"/>
    <n v="584.26000999999997"/>
    <n v="593.73999000000003"/>
    <n v="593.73999000000003"/>
    <n v="7.3099970000000667"/>
    <n v="3358400"/>
    <n v="-1.7595307917888499E-2"/>
    <n v="-6"/>
    <n v="1.2465250903359008E-2"/>
    <n v="341"/>
  </r>
  <r>
    <x v="1000"/>
    <d v="1905-07-13T00:00:00"/>
    <x v="11"/>
    <n v="597.53997800000002"/>
    <n v="607.82000700000003"/>
    <n v="593.85998500000005"/>
    <n v="604.919983"/>
    <n v="604.919983"/>
    <n v="7.3800049999999828"/>
    <n v="2319400"/>
    <n v="-2.2792022792022699E-2"/>
    <n v="-8"/>
    <n v="1.235064643658032E-2"/>
    <n v="351"/>
  </r>
  <r>
    <x v="1001"/>
    <d v="1905-07-13T00:00:00"/>
    <x v="11"/>
    <n v="603.35998500000005"/>
    <n v="614.82000700000003"/>
    <n v="602.63000499999998"/>
    <n v="614.23999000000003"/>
    <n v="614.23999000000003"/>
    <n v="10.880004999999983"/>
    <n v="2335700"/>
    <n v="-1.0344827586206799E-2"/>
    <n v="-3"/>
    <n v="1.8032360896455508E-2"/>
    <n v="290"/>
  </r>
  <r>
    <x v="1002"/>
    <d v="1905-07-13T00:00:00"/>
    <x v="11"/>
    <n v="616.40002400000003"/>
    <n v="616.88000499999998"/>
    <n v="607.57000700000003"/>
    <n v="614.09002699999996"/>
    <n v="614.09002699999996"/>
    <n v="-2.3099970000000667"/>
    <n v="1621100"/>
    <n v="-3.1620553359683702E-2"/>
    <n v="-8"/>
    <n v="-3.7475615023663052E-3"/>
    <n v="253"/>
  </r>
  <r>
    <x v="1003"/>
    <d v="1905-07-13T00:00:00"/>
    <x v="11"/>
    <n v="615"/>
    <n v="615"/>
    <n v="609.25"/>
    <n v="613.11999500000002"/>
    <n v="613.11999500000002"/>
    <n v="-1.8800049999999828"/>
    <n v="2061500"/>
    <n v="-2.77777777777777E-2"/>
    <n v="-6"/>
    <n v="-3.056918699186964E-3"/>
    <n v="216"/>
  </r>
  <r>
    <x v="1004"/>
    <d v="1905-07-13T00:00:00"/>
    <x v="11"/>
    <n v="614.95001200000002"/>
    <n v="618.40997300000004"/>
    <n v="609.69000200000005"/>
    <n v="610.71002199999998"/>
    <n v="610.71002199999998"/>
    <n v="-4.2399900000000343"/>
    <n v="1882800"/>
    <n v="-5.8309037900874001E-3"/>
    <n v="-2"/>
    <n v="-6.8948531055562194E-3"/>
    <n v="343"/>
  </r>
  <r>
    <x v="1005"/>
    <d v="1905-07-13T00:00:00"/>
    <x v="11"/>
    <n v="610.71002199999998"/>
    <n v="613.97997999999995"/>
    <n v="604.67999299999997"/>
    <n v="610.53997800000002"/>
    <n v="610.53997800000002"/>
    <n v="-0.17004399999996167"/>
    <n v="1287200"/>
    <n v="-5.52763819095477E-2"/>
    <n v="-11"/>
    <n v="-2.7843656379354729E-4"/>
    <n v="199"/>
  </r>
  <r>
    <x v="1006"/>
    <d v="1905-07-13T00:00:00"/>
    <x v="11"/>
    <n v="612.98999000000003"/>
    <n v="620.60998500000005"/>
    <n v="611.23999000000003"/>
    <n v="612.09002699999996"/>
    <n v="612.09002699999996"/>
    <n v="-0.89996300000007068"/>
    <n v="1625100"/>
    <n v="-3.8235294117646999E-2"/>
    <n v="-13"/>
    <n v="-1.4681528486298293E-3"/>
    <n v="340"/>
  </r>
  <r>
    <x v="1007"/>
    <d v="1905-07-13T00:00:00"/>
    <x v="11"/>
    <n v="610.01000999999997"/>
    <n v="614.080017"/>
    <n v="602.04998799999998"/>
    <n v="602.44000200000005"/>
    <n v="602.44000200000005"/>
    <n v="-7.5700079999999161"/>
    <n v="1995900"/>
    <n v="-0.101123595505617"/>
    <n v="-18"/>
    <n v="-1.2409645540078788E-2"/>
    <n v="178"/>
  </r>
  <r>
    <x v="1008"/>
    <d v="1905-07-14T00:00:00"/>
    <x v="0"/>
    <n v="605.60998500000005"/>
    <n v="609.98999000000003"/>
    <n v="590.55999799999995"/>
    <n v="597.36999500000002"/>
    <n v="597.36999500000002"/>
    <n v="-8.2399900000000343"/>
    <n v="3067500"/>
    <n v="-5.5921052631578899E-2"/>
    <n v="-17"/>
    <n v="-1.3606099972080272E-2"/>
    <n v="304"/>
  </r>
  <r>
    <x v="1009"/>
    <d v="1905-07-14T00:00:00"/>
    <x v="0"/>
    <n v="599.90997300000004"/>
    <n v="600.40997300000004"/>
    <n v="581.59997599999997"/>
    <n v="591.15002400000003"/>
    <n v="591.15002400000003"/>
    <n v="-8.759949000000006"/>
    <n v="4393100"/>
    <n v="-8.5365853658536495E-2"/>
    <n v="-28"/>
    <n v="-1.4602105972990727E-2"/>
    <n v="328"/>
  </r>
  <r>
    <x v="1010"/>
    <d v="1905-07-14T00:00:00"/>
    <x v="0"/>
    <n v="592"/>
    <n v="592.84002699999996"/>
    <n v="566.88000499999998"/>
    <n v="567.52002000000005"/>
    <n v="567.52002000000005"/>
    <n v="-24.479979999999955"/>
    <n v="4148700"/>
    <n v="-0.13395638629283399"/>
    <n v="-43"/>
    <n v="-4.1351317567567492E-2"/>
    <n v="321"/>
  </r>
  <r>
    <x v="1011"/>
    <d v="1905-07-14T00:00:00"/>
    <x v="0"/>
    <n v="554.34002699999996"/>
    <n v="563.35998500000005"/>
    <n v="542.01000999999997"/>
    <n v="553.28997800000002"/>
    <n v="553.28997800000002"/>
    <n v="-1.0500489999999445"/>
    <n v="5711800"/>
    <n v="-0.11612903225806399"/>
    <n v="-54"/>
    <n v="-1.8942326890638633E-3"/>
    <n v="465"/>
  </r>
  <r>
    <x v="1012"/>
    <d v="1905-07-14T00:00:00"/>
    <x v="0"/>
    <n v="549.46002199999998"/>
    <n v="553.42999299999997"/>
    <n v="538.21997099999999"/>
    <n v="541.05999799999995"/>
    <n v="541.05999799999995"/>
    <n v="-8.4000240000000304"/>
    <n v="3382900"/>
    <n v="-8.3870967741935407E-2"/>
    <n v="-26"/>
    <n v="-1.528778011805931E-2"/>
    <n v="310"/>
  </r>
  <r>
    <x v="1013"/>
    <d v="1905-07-14T00:00:00"/>
    <x v="0"/>
    <n v="538.48999000000003"/>
    <n v="543.69000200000005"/>
    <n v="526.32000700000003"/>
    <n v="539.84997599999997"/>
    <n v="539.84997599999997"/>
    <n v="1.3599859999999353"/>
    <n v="4486100"/>
    <n v="-0.116279069767441"/>
    <n v="-30"/>
    <n v="2.5255548390044078E-3"/>
    <n v="258"/>
  </r>
  <r>
    <x v="1014"/>
    <d v="1905-07-14T00:00:00"/>
    <x v="0"/>
    <n v="536.98999000000003"/>
    <n v="543.90997300000004"/>
    <n v="530.07000700000003"/>
    <n v="540.84002699999996"/>
    <n v="540.84002699999996"/>
    <n v="3.8500369999999293"/>
    <n v="3077800"/>
    <n v="-7.5601374570446703E-2"/>
    <n v="-22"/>
    <n v="7.169662510841085E-3"/>
    <n v="291"/>
  </r>
  <r>
    <x v="1015"/>
    <d v="1905-07-14T00:00:00"/>
    <x v="0"/>
    <n v="544.27002000000005"/>
    <n v="544.27002000000005"/>
    <n v="532.02002000000005"/>
    <n v="537.21997099999999"/>
    <n v="537.21997099999999"/>
    <n v="-7.0500490000000582"/>
    <n v="3787400"/>
    <n v="-9.4462540716612295E-2"/>
    <n v="-29"/>
    <n v="-1.295321943325127E-2"/>
    <n v="307"/>
  </r>
  <r>
    <x v="1016"/>
    <d v="1905-07-14T00:00:00"/>
    <x v="0"/>
    <n v="537.05999799999995"/>
    <n v="540.78997800000002"/>
    <n v="518.26000999999997"/>
    <n v="519.20001200000002"/>
    <n v="519.20001200000002"/>
    <n v="-17.859985999999935"/>
    <n v="4475100"/>
    <n v="-0.127020785219399"/>
    <n v="-55"/>
    <n v="-3.3255103836647947E-2"/>
    <n v="433"/>
  </r>
  <r>
    <x v="1017"/>
    <d v="1905-07-14T00:00:00"/>
    <x v="0"/>
    <n v="517.59997599999997"/>
    <n v="538.36999500000002"/>
    <n v="511.88000499999998"/>
    <n v="525.69000200000005"/>
    <n v="525.69000200000005"/>
    <n v="8.0900260000000799"/>
    <n v="7861100"/>
    <n v="-6.1617458279845903E-2"/>
    <n v="-48"/>
    <n v="1.5629880941107462E-2"/>
    <n v="779"/>
  </r>
  <r>
    <x v="1018"/>
    <d v="1905-07-14T00:00:00"/>
    <x v="0"/>
    <n v="520.080017"/>
    <n v="521.75"/>
    <n v="508.67999300000002"/>
    <n v="510.79998799999998"/>
    <n v="510.79998799999998"/>
    <n v="-9.2800290000000132"/>
    <n v="4839100"/>
    <n v="-9.9540581929555894E-2"/>
    <n v="-65"/>
    <n v="-1.7843463883750823E-2"/>
    <n v="653"/>
  </r>
  <r>
    <x v="1019"/>
    <d v="1905-07-14T00:00:00"/>
    <x v="0"/>
    <n v="515"/>
    <n v="523.21002199999998"/>
    <n v="510.51001000000002"/>
    <n v="515.85998500000005"/>
    <n v="515.85998500000005"/>
    <n v="0.85998500000005151"/>
    <n v="4353500"/>
    <n v="-8.0614203454894395E-2"/>
    <n v="-42"/>
    <n v="1.6698737864078671E-3"/>
    <n v="521"/>
  </r>
  <r>
    <x v="1020"/>
    <d v="1905-07-14T00:00:00"/>
    <x v="0"/>
    <n v="517.75"/>
    <n v="526.64001499999995"/>
    <n v="506.92999300000002"/>
    <n v="508.25"/>
    <n v="508.25"/>
    <n v="-9.5"/>
    <n v="12659000"/>
    <n v="-0.20318441064638701"/>
    <n v="-855"/>
    <n v="-1.834862385321101E-2"/>
    <n v="4208"/>
  </r>
  <r>
    <x v="1021"/>
    <d v="1905-07-14T00:00:00"/>
    <x v="0"/>
    <n v="400.42999300000002"/>
    <n v="409.14999399999999"/>
    <n v="379.98998999999998"/>
    <n v="397.5"/>
    <n v="397.5"/>
    <n v="-2.9299930000000245"/>
    <n v="58904300"/>
    <n v="-0.18461822205828099"/>
    <n v="-1001"/>
    <n v="-7.3171167275674683E-3"/>
    <n v="5422"/>
  </r>
  <r>
    <x v="1022"/>
    <d v="1905-07-14T00:00:00"/>
    <x v="0"/>
    <n v="383.91000400000001"/>
    <n v="387.26001000000002"/>
    <n v="351.459991"/>
    <n v="387.14999399999999"/>
    <n v="387.14999399999999"/>
    <n v="3.2399899999999775"/>
    <n v="32346000"/>
    <n v="-0.15523465703971101"/>
    <n v="-215"/>
    <n v="8.4394518669536345E-3"/>
    <n v="1385"/>
  </r>
  <r>
    <x v="1023"/>
    <d v="1905-07-14T00:00:00"/>
    <x v="0"/>
    <n v="379.14001500000001"/>
    <n v="387.709991"/>
    <n v="365.13000499999998"/>
    <n v="366.42001299999998"/>
    <n v="366.42001299999998"/>
    <n v="-12.720002000000022"/>
    <n v="15145800"/>
    <n v="-0.17225950782997701"/>
    <n v="-154"/>
    <n v="-3.3549616228189527E-2"/>
    <n v="894"/>
  </r>
  <r>
    <x v="1024"/>
    <d v="1905-07-14T00:00:00"/>
    <x v="0"/>
    <n v="378.26998900000001"/>
    <n v="382.66000400000001"/>
    <n v="356.61999500000002"/>
    <n v="359.70001200000002"/>
    <n v="359.70001200000002"/>
    <n v="-18.569976999999994"/>
    <n v="12684000"/>
    <n v="-0.11915367483296201"/>
    <n v="-107"/>
    <n v="-4.909185909538278E-2"/>
    <n v="898"/>
  </r>
  <r>
    <x v="1025"/>
    <d v="1905-07-14T00:00:00"/>
    <x v="0"/>
    <n v="382.05999800000001"/>
    <n v="394.79998799999998"/>
    <n v="378.10000600000001"/>
    <n v="386.70001200000002"/>
    <n v="386.70001200000002"/>
    <n v="4.6400140000000079"/>
    <n v="24324700"/>
    <n v="-8.10968494749124E-2"/>
    <n v="-139"/>
    <n v="1.21447260228484E-2"/>
    <n v="1714"/>
  </r>
  <r>
    <x v="1026"/>
    <d v="1905-07-14T00:00:00"/>
    <x v="0"/>
    <n v="386.76001000000002"/>
    <n v="387"/>
    <n v="372.07998700000002"/>
    <n v="384.35998499999999"/>
    <n v="384.35998499999999"/>
    <n v="-2.4000250000000278"/>
    <n v="11966600"/>
    <n v="-5.7106598984771502E-2"/>
    <n v="-45"/>
    <n v="-6.2054631759887163E-3"/>
    <n v="788"/>
  </r>
  <r>
    <x v="1027"/>
    <d v="1905-07-14T00:00:00"/>
    <x v="0"/>
    <n v="401.97000100000002"/>
    <n v="427.70001200000002"/>
    <n v="398.20001200000002"/>
    <n v="427.14001500000001"/>
    <n v="427.14001500000001"/>
    <n v="25.170013999999981"/>
    <n v="20047500"/>
    <n v="-3.07570977917981E-2"/>
    <n v="-39"/>
    <n v="6.2616647852783369E-2"/>
    <n v="1268"/>
  </r>
  <r>
    <x v="1028"/>
    <d v="1905-07-14T00:00:00"/>
    <x v="1"/>
    <n v="432.959991"/>
    <n v="458.48001099999999"/>
    <n v="425.540009"/>
    <n v="457.13000499999998"/>
    <n v="457.13000499999998"/>
    <n v="24.170013999999981"/>
    <n v="22568100"/>
    <n v="-5.6285178236397003E-3"/>
    <n v="-6"/>
    <n v="5.5825051973451237E-2"/>
    <n v="1066"/>
  </r>
  <r>
    <x v="1029"/>
    <d v="1905-07-14T00:00:00"/>
    <x v="1"/>
    <n v="448.25"/>
    <n v="451.98001099999999"/>
    <n v="426.48001099999999"/>
    <n v="429.48001099999999"/>
    <n v="429.48001099999999"/>
    <n v="-18.76998900000001"/>
    <n v="14346000"/>
    <n v="-0.12396694214876"/>
    <n v="-120"/>
    <n v="-4.1873929726715026E-2"/>
    <n v="968"/>
  </r>
  <r>
    <x v="1030"/>
    <d v="1905-07-14T00:00:00"/>
    <x v="1"/>
    <n v="421.44000199999999"/>
    <n v="429.26001000000002"/>
    <n v="404.27999899999998"/>
    <n v="405.60000600000001"/>
    <n v="405.60000600000001"/>
    <n v="-15.839995999999985"/>
    <n v="9905200"/>
    <n v="-0.15529905561385099"/>
    <n v="-148"/>
    <n v="-3.7585411742666004E-2"/>
    <n v="953"/>
  </r>
  <r>
    <x v="1031"/>
    <d v="1905-07-14T00:00:00"/>
    <x v="1"/>
    <n v="407.30999800000001"/>
    <n v="412.76998900000001"/>
    <n v="396.64001500000001"/>
    <n v="410.17001299999998"/>
    <n v="410.17001299999998"/>
    <n v="2.8600149999999758"/>
    <n v="7789800"/>
    <n v="-0.150877192982456"/>
    <n v="-86"/>
    <n v="7.0217156810375566E-3"/>
    <n v="570"/>
  </r>
  <r>
    <x v="1032"/>
    <d v="1905-07-14T00:00:00"/>
    <x v="1"/>
    <n v="410.17001299999998"/>
    <n v="412.35000600000001"/>
    <n v="393.54998799999998"/>
    <n v="402.10000600000001"/>
    <n v="402.10000600000001"/>
    <n v="-8.0700069999999755"/>
    <n v="8232900"/>
    <n v="-0.125748502994011"/>
    <n v="-63"/>
    <n v="-1.9674785440738633E-2"/>
    <n v="501"/>
  </r>
  <r>
    <x v="1033"/>
    <d v="1905-07-14T00:00:00"/>
    <x v="1"/>
    <n v="398.17999300000002"/>
    <n v="406.60998499999999"/>
    <n v="395.82998700000002"/>
    <n v="403.52999899999998"/>
    <n v="403.52999899999998"/>
    <n v="5.3500059999999507"/>
    <n v="6818500"/>
    <n v="-9.9796334012219906E-2"/>
    <n v="-49"/>
    <n v="1.3436149716341852E-2"/>
    <n v="491"/>
  </r>
  <r>
    <x v="1034"/>
    <d v="1905-07-14T00:00:00"/>
    <x v="1"/>
    <n v="408.64999399999999"/>
    <n v="412.98001099999999"/>
    <n v="398.790009"/>
    <n v="412.89001500000001"/>
    <n v="412.89001500000001"/>
    <n v="4.2400210000000129"/>
    <n v="7738200"/>
    <n v="-6.7685589519650605E-2"/>
    <n v="-31"/>
    <n v="1.0375678605785109E-2"/>
    <n v="458"/>
  </r>
  <r>
    <x v="1035"/>
    <d v="1905-07-14T00:00:00"/>
    <x v="1"/>
    <n v="402.10000600000001"/>
    <n v="408"/>
    <n v="396.35998499999999"/>
    <n v="406.26998900000001"/>
    <n v="406.26998900000001"/>
    <n v="4.169983000000002"/>
    <n v="8452900"/>
    <n v="-7.6212471131639703E-2"/>
    <n v="-33"/>
    <n v="1.0370512155625289E-2"/>
    <n v="433"/>
  </r>
  <r>
    <x v="1036"/>
    <d v="1905-07-14T00:00:00"/>
    <x v="1"/>
    <n v="405.32998700000002"/>
    <n v="411.60998499999999"/>
    <n v="387.64999399999999"/>
    <n v="391.30999800000001"/>
    <n v="391.30999800000001"/>
    <n v="-14.01998900000001"/>
    <n v="7558900"/>
    <n v="-0.14141414141414099"/>
    <n v="-56"/>
    <n v="-3.4589074210292781E-2"/>
    <n v="396"/>
  </r>
  <r>
    <x v="1037"/>
    <d v="1905-07-14T00:00:00"/>
    <x v="1"/>
    <n v="387.58999599999999"/>
    <n v="409.35998499999999"/>
    <n v="386.89001500000001"/>
    <n v="396.57000699999998"/>
    <n v="396.57000699999998"/>
    <n v="8.9800109999999904"/>
    <n v="7202200"/>
    <n v="-6.0941828254847598E-2"/>
    <n v="-22"/>
    <n v="2.3168841024472652E-2"/>
    <n v="361"/>
  </r>
  <r>
    <x v="1038"/>
    <d v="1905-07-14T00:00:00"/>
    <x v="1"/>
    <n v="403.790009"/>
    <n v="409.16000400000001"/>
    <n v="401.01001000000002"/>
    <n v="407.459991"/>
    <n v="407.459991"/>
    <n v="3.6699820000000045"/>
    <n v="5392300"/>
    <n v="-7.8078078078077998E-2"/>
    <n v="-26"/>
    <n v="9.0888380549306869E-3"/>
    <n v="333"/>
  </r>
  <r>
    <x v="1039"/>
    <d v="1905-07-14T00:00:00"/>
    <x v="1"/>
    <n v="401.52999899999998"/>
    <n v="401.55999800000001"/>
    <n v="390.38000499999998"/>
    <n v="398.07998700000002"/>
    <n v="398.07998700000002"/>
    <n v="-3.4500119999999583"/>
    <n v="5277700"/>
    <n v="-0.16831683168316799"/>
    <n v="-68"/>
    <n v="-8.5921649903920594E-3"/>
    <n v="404"/>
  </r>
  <r>
    <x v="1040"/>
    <d v="1905-07-14T00:00:00"/>
    <x v="1"/>
    <n v="394.23998999999998"/>
    <n v="399.10998499999999"/>
    <n v="385.70001200000002"/>
    <n v="386.67001299999998"/>
    <n v="386.67001299999998"/>
    <n v="-7.5699769999999944"/>
    <n v="4669200"/>
    <n v="-0.22159090909090901"/>
    <n v="-78"/>
    <n v="-1.9201443770328817E-2"/>
    <n v="352"/>
  </r>
  <r>
    <x v="1041"/>
    <d v="1905-07-14T00:00:00"/>
    <x v="1"/>
    <n v="392.52999899999998"/>
    <n v="402.86999500000002"/>
    <n v="389.04998799999998"/>
    <n v="391.290009"/>
    <n v="391.290009"/>
    <n v="-1.2399899999999775"/>
    <n v="6801700"/>
    <n v="-9.3439363817097401E-2"/>
    <n v="-47"/>
    <n v="-3.1589687492903635E-3"/>
    <n v="503"/>
  </r>
  <r>
    <x v="1042"/>
    <d v="1905-07-14T00:00:00"/>
    <x v="1"/>
    <n v="388.95001200000002"/>
    <n v="392.42001299999998"/>
    <n v="373.01998900000001"/>
    <n v="377.38000499999998"/>
    <n v="377.38000499999998"/>
    <n v="-11.570007000000032"/>
    <n v="6697500"/>
    <n v="-0.14953271028037299"/>
    <n v="-48"/>
    <n v="-2.9746771160917285E-2"/>
    <n v="321"/>
  </r>
  <r>
    <x v="1043"/>
    <d v="1905-07-14T00:00:00"/>
    <x v="1"/>
    <n v="382.72000100000002"/>
    <n v="386"/>
    <n v="366.66000400000001"/>
    <n v="367.459991"/>
    <n v="367.459991"/>
    <n v="-15.260010000000023"/>
    <n v="4614300"/>
    <n v="-0.140575079872204"/>
    <n v="-44"/>
    <n v="-3.9872517663376628E-2"/>
    <n v="313"/>
  </r>
  <r>
    <x v="1044"/>
    <d v="1905-07-14T00:00:00"/>
    <x v="1"/>
    <n v="355.08999599999999"/>
    <n v="390.73001099999999"/>
    <n v="354.72000100000002"/>
    <n v="390.02999899999998"/>
    <n v="390.02999899999998"/>
    <n v="34.94000299999999"/>
    <n v="7068700"/>
    <n v="-0.114583333333333"/>
    <n v="-33"/>
    <n v="9.8397598900533345E-2"/>
    <n v="288"/>
  </r>
  <r>
    <x v="1045"/>
    <d v="1905-07-14T00:00:00"/>
    <x v="1"/>
    <n v="386.60998499999999"/>
    <n v="391.290009"/>
    <n v="375.57998700000002"/>
    <n v="390.79998799999998"/>
    <n v="390.79998799999998"/>
    <n v="4.1900029999999902"/>
    <n v="4841600"/>
    <n v="-0.141552511415525"/>
    <n v="-31"/>
    <n v="1.0837803374374799E-2"/>
    <n v="219"/>
  </r>
  <r>
    <x v="1046"/>
    <d v="1905-07-14T00:00:00"/>
    <x v="1"/>
    <n v="387.32998700000002"/>
    <n v="397.75"/>
    <n v="382.13000499999998"/>
    <n v="394.51998900000001"/>
    <n v="394.51998900000001"/>
    <n v="7.1900019999999927"/>
    <n v="5035000"/>
    <n v="-0.14576271186440601"/>
    <n v="-43"/>
    <n v="1.8562988256315905E-2"/>
    <n v="295"/>
  </r>
  <r>
    <x v="1047"/>
    <d v="1905-07-14T00:00:00"/>
    <x v="2"/>
    <n v="391.60000600000001"/>
    <n v="395"/>
    <n v="383.709991"/>
    <n v="386.23998999999998"/>
    <n v="386.23998999999998"/>
    <n v="-5.3600160000000301"/>
    <n v="3290400"/>
    <n v="-0.177966101694915"/>
    <n v="-42"/>
    <n v="-1.3687476807648542E-2"/>
    <n v="236"/>
  </r>
  <r>
    <x v="1048"/>
    <d v="1905-07-14T00:00:00"/>
    <x v="2"/>
    <n v="388.92999300000002"/>
    <n v="389.22000100000002"/>
    <n v="375.209991"/>
    <n v="380.02999899999998"/>
    <n v="380.02999899999998"/>
    <n v="-8.8999940000000493"/>
    <n v="5356800"/>
    <n v="-7.1005917159763302E-2"/>
    <n v="-24"/>
    <n v="-2.2883280179423059E-2"/>
    <n v="338"/>
  </r>
  <r>
    <x v="1049"/>
    <d v="1905-07-14T00:00:00"/>
    <x v="2"/>
    <n v="386"/>
    <n v="386.11999500000002"/>
    <n v="364.64999399999999"/>
    <n v="368.07000699999998"/>
    <n v="368.07000699999998"/>
    <n v="-17.929993000000024"/>
    <n v="6076800"/>
    <n v="-0.12627986348122799"/>
    <n v="-37"/>
    <n v="-4.6450759067357579E-2"/>
    <n v="293"/>
  </r>
  <r>
    <x v="1050"/>
    <d v="1905-07-14T00:00:00"/>
    <x v="2"/>
    <n v="368"/>
    <n v="374.82000699999998"/>
    <n v="357.17001299999998"/>
    <n v="361.73001099999999"/>
    <n v="361.73001099999999"/>
    <n v="-6.2699890000000096"/>
    <n v="5325500"/>
    <n v="-8.6757990867579904E-2"/>
    <n v="-19"/>
    <n v="-1.7038013586956547E-2"/>
    <n v="219"/>
  </r>
  <r>
    <x v="1051"/>
    <d v="1905-07-14T00:00:00"/>
    <x v="2"/>
    <n v="360.41000400000001"/>
    <n v="362"/>
    <n v="350.20001200000002"/>
    <n v="350.26001000000002"/>
    <n v="350.26001000000002"/>
    <n v="-10.149993999999992"/>
    <n v="5708400"/>
    <n v="-0.20294117647058799"/>
    <n v="-69"/>
    <n v="-2.8162353673179371E-2"/>
    <n v="340"/>
  </r>
  <r>
    <x v="1052"/>
    <d v="1905-07-14T00:00:00"/>
    <x v="2"/>
    <n v="349.79998799999998"/>
    <n v="358.85998499999999"/>
    <n v="340.67001299999998"/>
    <n v="341.76001000000002"/>
    <n v="341.76001000000002"/>
    <n v="-8.0399779999999623"/>
    <n v="6428700"/>
    <n v="-0.18266253869969001"/>
    <n v="-59"/>
    <n v="-2.2984500502612831E-2"/>
    <n v="323"/>
  </r>
  <r>
    <x v="1053"/>
    <d v="1905-07-14T00:00:00"/>
    <x v="2"/>
    <n v="357.69000199999999"/>
    <n v="364.14001500000001"/>
    <n v="350.51001000000002"/>
    <n v="358.790009"/>
    <n v="358.790009"/>
    <n v="1.1000070000000051"/>
    <n v="6520200"/>
    <n v="-8.8161209068010005E-2"/>
    <n v="-35"/>
    <n v="3.0753082105996494E-3"/>
    <n v="397"/>
  </r>
  <r>
    <x v="1054"/>
    <d v="1905-07-14T00:00:00"/>
    <x v="2"/>
    <n v="356.20001200000002"/>
    <n v="367.01998900000001"/>
    <n v="353.29998799999998"/>
    <n v="356.76998900000001"/>
    <n v="356.76998900000001"/>
    <n v="0.5699769999999944"/>
    <n v="4807800"/>
    <n v="-8.8145896656534897E-2"/>
    <n v="-29"/>
    <n v="1.6001599685515856E-3"/>
    <n v="329"/>
  </r>
  <r>
    <x v="1055"/>
    <d v="1905-07-14T00:00:00"/>
    <x v="2"/>
    <n v="361.19000199999999"/>
    <n v="363.35998499999999"/>
    <n v="340"/>
    <n v="340.32000699999998"/>
    <n v="340.32000699999998"/>
    <n v="-20.869995000000017"/>
    <n v="4819900"/>
    <n v="-0.13059701492537301"/>
    <n v="-35"/>
    <n v="-5.7781209015857579E-2"/>
    <n v="268"/>
  </r>
  <r>
    <x v="1056"/>
    <d v="1905-07-14T00:00:00"/>
    <x v="2"/>
    <n v="338.72000100000002"/>
    <n v="341.32000699999998"/>
    <n v="329.82000699999998"/>
    <n v="331.01001000000002"/>
    <n v="331.01001000000002"/>
    <n v="-7.7099910000000023"/>
    <n v="5907800"/>
    <n v="-0.12962962962962901"/>
    <n v="-42"/>
    <n v="-2.2762136801009285E-2"/>
    <n v="324"/>
  </r>
  <r>
    <x v="1057"/>
    <d v="1905-07-14T00:00:00"/>
    <x v="2"/>
    <n v="335.10000600000001"/>
    <n v="345.35998499999999"/>
    <n v="332.35998499999999"/>
    <n v="343.75"/>
    <n v="343.75"/>
    <n v="8.6499939999999924"/>
    <n v="5460600"/>
    <n v="-5.0675675675675602E-2"/>
    <n v="-15"/>
    <n v="2.5813171725219224E-2"/>
    <n v="296"/>
  </r>
  <r>
    <x v="1058"/>
    <d v="1905-07-14T00:00:00"/>
    <x v="2"/>
    <n v="348.20001200000002"/>
    <n v="359.98998999999998"/>
    <n v="343.05999800000001"/>
    <n v="357.52999899999998"/>
    <n v="357.52999899999998"/>
    <n v="9.3299869999999601"/>
    <n v="6982500"/>
    <n v="-9.9415204678362498E-2"/>
    <n v="-34"/>
    <n v="2.6794907175362072E-2"/>
    <n v="342"/>
  </r>
  <r>
    <x v="1059"/>
    <d v="1905-07-14T00:00:00"/>
    <x v="2"/>
    <n v="359.70001200000002"/>
    <n v="373.30999800000001"/>
    <n v="354.88000499999998"/>
    <n v="371.39999399999999"/>
    <n v="371.39999399999999"/>
    <n v="11.699981999999977"/>
    <n v="5818300"/>
    <n v="-5.4285714285714201E-2"/>
    <n v="-19"/>
    <n v="3.252705479476041E-2"/>
    <n v="350"/>
  </r>
  <r>
    <x v="1060"/>
    <d v="1905-07-14T00:00:00"/>
    <x v="2"/>
    <n v="372"/>
    <n v="381.79998799999998"/>
    <n v="368.47000100000002"/>
    <n v="380.60000600000001"/>
    <n v="380.60000600000001"/>
    <n v="8.6000060000000076"/>
    <n v="8324800"/>
    <n v="0"/>
    <n v="0"/>
    <n v="2.3118295698924752E-2"/>
    <n v="258"/>
  </r>
  <r>
    <x v="1061"/>
    <d v="1905-07-14T00:00:00"/>
    <x v="2"/>
    <n v="378.01998900000001"/>
    <n v="381.82000699999998"/>
    <n v="368.94000199999999"/>
    <n v="374.58999599999999"/>
    <n v="374.58999599999999"/>
    <n v="-3.4299930000000245"/>
    <n v="4866500"/>
    <n v="-5.2083333333333001E-3"/>
    <n v="-1"/>
    <n v="-9.0735757362291874E-3"/>
    <n v="192"/>
  </r>
  <r>
    <x v="1062"/>
    <d v="1905-07-14T00:00:00"/>
    <x v="2"/>
    <n v="371.14001500000001"/>
    <n v="386.66000400000001"/>
    <n v="366.76001000000002"/>
    <n v="382.92001299999998"/>
    <n v="382.92001299999998"/>
    <n v="11.779997999999978"/>
    <n v="4242800"/>
    <n v="2.2471910112359501E-2"/>
    <n v="6"/>
    <n v="3.1740037516568988E-2"/>
    <n v="267"/>
  </r>
  <r>
    <x v="1063"/>
    <d v="1905-07-14T00:00:00"/>
    <x v="2"/>
    <n v="379.76998900000001"/>
    <n v="382.459991"/>
    <n v="374.48998999999998"/>
    <n v="374.48998999999998"/>
    <n v="374.48998999999998"/>
    <n v="-5.2799990000000321"/>
    <n v="3729000"/>
    <n v="-0.100456621004566"/>
    <n v="-22"/>
    <n v="-1.390314967726434E-2"/>
    <n v="219"/>
  </r>
  <r>
    <x v="1064"/>
    <d v="1905-07-14T00:00:00"/>
    <x v="2"/>
    <n v="379.76001000000002"/>
    <n v="379.76001000000002"/>
    <n v="368.89999399999999"/>
    <n v="375.709991"/>
    <n v="375.709991"/>
    <n v="-4.0500190000000202"/>
    <n v="3888500"/>
    <n v="-4.2801556420233401E-2"/>
    <n v="-11"/>
    <n v="-1.0664680043588634E-2"/>
    <n v="257"/>
  </r>
  <r>
    <x v="1065"/>
    <d v="1905-07-14T00:00:00"/>
    <x v="2"/>
    <n v="377.07000699999998"/>
    <n v="377.64001500000001"/>
    <n v="366.42999300000002"/>
    <n v="373.85000600000001"/>
    <n v="373.85000600000001"/>
    <n v="-3.2200009999999679"/>
    <n v="3574500"/>
    <n v="-5.1162790697674397E-2"/>
    <n v="-11"/>
    <n v="-8.5395309630128396E-3"/>
    <n v="215"/>
  </r>
  <r>
    <x v="1066"/>
    <d v="1905-07-14T00:00:00"/>
    <x v="2"/>
    <n v="375.23001099999999"/>
    <n v="380.27999899999998"/>
    <n v="366.73001099999999"/>
    <n v="378.51001000000002"/>
    <n v="378.51001000000002"/>
    <n v="3.2799990000000321"/>
    <n v="4323400"/>
    <n v="-9.1269841269841195E-2"/>
    <n v="-23"/>
    <n v="8.7413024114428636E-3"/>
    <n v="252"/>
  </r>
  <r>
    <x v="1067"/>
    <d v="1905-07-14T00:00:00"/>
    <x v="2"/>
    <n v="384.39001500000001"/>
    <n v="396.5"/>
    <n v="380.32998700000002"/>
    <n v="391.82000699999998"/>
    <n v="391.82000699999998"/>
    <n v="7.4299919999999702"/>
    <n v="5880700"/>
    <n v="6.7415730337078003E-3"/>
    <n v="3"/>
    <n v="1.9329305419132622E-2"/>
    <n v="445"/>
  </r>
  <r>
    <x v="1068"/>
    <d v="1905-07-14T00:00:00"/>
    <x v="2"/>
    <n v="389.54998799999998"/>
    <n v="392.70001200000002"/>
    <n v="378.63000499999998"/>
    <n v="381.47000100000002"/>
    <n v="381.47000100000002"/>
    <n v="-8.0799869999999601"/>
    <n v="4023300"/>
    <n v="-8.9605734767025005E-2"/>
    <n v="-25"/>
    <n v="-2.0741848925432287E-2"/>
    <n v="279"/>
  </r>
  <r>
    <x v="1069"/>
    <d v="1905-07-14T00:00:00"/>
    <x v="2"/>
    <n v="383.58999599999999"/>
    <n v="384"/>
    <n v="373.60998499999999"/>
    <n v="374.58999599999999"/>
    <n v="374.58999599999999"/>
    <n v="-9"/>
    <n v="4134700"/>
    <n v="-9.375E-2"/>
    <n v="-18"/>
    <n v="-2.3462551406059091E-2"/>
    <n v="192"/>
  </r>
  <r>
    <x v="1070"/>
    <d v="1905-07-14T00:00:00"/>
    <x v="3"/>
    <n v="376.79998799999998"/>
    <n v="380.86999500000002"/>
    <n v="368.5"/>
    <n v="373.47000100000002"/>
    <n v="373.47000100000002"/>
    <n v="-3.3299869999999601"/>
    <n v="4644200"/>
    <n v="-0.112612612612612"/>
    <n v="-25"/>
    <n v="-8.8375453982232084E-3"/>
    <n v="222"/>
  </r>
  <r>
    <x v="1071"/>
    <d v="1905-07-14T00:00:00"/>
    <x v="3"/>
    <n v="373.54998799999998"/>
    <n v="396.01998900000001"/>
    <n v="373.13000499999998"/>
    <n v="391.5"/>
    <n v="391.5"/>
    <n v="17.950012000000015"/>
    <n v="7001800"/>
    <n v="1.7142857142857099E-2"/>
    <n v="6"/>
    <n v="4.8052503216785045E-2"/>
    <n v="350"/>
  </r>
  <r>
    <x v="1072"/>
    <d v="1905-07-14T00:00:00"/>
    <x v="3"/>
    <n v="389.29998799999998"/>
    <n v="390"/>
    <n v="377.30999800000001"/>
    <n v="380.14999399999999"/>
    <n v="380.14999399999999"/>
    <n v="-9.1499939999999924"/>
    <n v="4234500"/>
    <n v="-4.8689138576778999E-2"/>
    <n v="-13"/>
    <n v="-2.3503709946171365E-2"/>
    <n v="267"/>
  </r>
  <r>
    <x v="1073"/>
    <d v="1905-07-14T00:00:00"/>
    <x v="3"/>
    <n v="374.14999399999999"/>
    <n v="376.47000100000002"/>
    <n v="362.73001099999999"/>
    <n v="368.35000600000001"/>
    <n v="368.35000600000001"/>
    <n v="-5.7999879999999848"/>
    <n v="4354900"/>
    <n v="-5.1401869158878503E-2"/>
    <n v="-11"/>
    <n v="-1.5501772265162686E-2"/>
    <n v="214"/>
  </r>
  <r>
    <x v="1074"/>
    <d v="1905-07-14T00:00:00"/>
    <x v="3"/>
    <n v="365"/>
    <n v="368.540009"/>
    <n v="353.69000199999999"/>
    <n v="362.14999399999999"/>
    <n v="362.14999399999999"/>
    <n v="-2.8500060000000076"/>
    <n v="4948900"/>
    <n v="-9.45945945945946E-2"/>
    <n v="-28"/>
    <n v="-7.8082356164383771E-3"/>
    <n v="296"/>
  </r>
  <r>
    <x v="1075"/>
    <d v="1905-07-14T00:00:00"/>
    <x v="3"/>
    <n v="361.959991"/>
    <n v="362.5"/>
    <n v="354.86999500000002"/>
    <n v="355.88000499999998"/>
    <n v="355.88000499999998"/>
    <n v="-6.0799860000000194"/>
    <n v="4025200"/>
    <n v="-0.122171945701357"/>
    <n v="-27"/>
    <n v="-1.6797397920147533E-2"/>
    <n v="221"/>
  </r>
  <r>
    <x v="1076"/>
    <d v="1905-07-14T00:00:00"/>
    <x v="3"/>
    <n v="350"/>
    <n v="354.77999899999998"/>
    <n v="345.20001200000002"/>
    <n v="348"/>
    <n v="348"/>
    <n v="-2"/>
    <n v="3777100"/>
    <n v="-1.6E-2"/>
    <n v="-4"/>
    <n v="-5.7142857142857143E-3"/>
    <n v="250"/>
  </r>
  <r>
    <x v="1077"/>
    <d v="1905-07-14T00:00:00"/>
    <x v="3"/>
    <n v="355.91000400000001"/>
    <n v="359.41000400000001"/>
    <n v="342.25"/>
    <n v="344.10000600000001"/>
    <n v="344.10000600000001"/>
    <n v="-11.809998000000007"/>
    <n v="3824300"/>
    <n v="-1.7482517482517401E-2"/>
    <n v="-5"/>
    <n v="-3.3182540156977455E-2"/>
    <n v="286"/>
  </r>
  <r>
    <x v="1078"/>
    <d v="1905-07-14T00:00:00"/>
    <x v="3"/>
    <n v="343.92001299999998"/>
    <n v="352"/>
    <n v="341.16000400000001"/>
    <n v="350.42999300000002"/>
    <n v="350.42999300000002"/>
    <n v="6.5099800000000414"/>
    <n v="3231000"/>
    <n v="-6.4981949458483707E-2"/>
    <n v="-18"/>
    <n v="1.8928761787410264E-2"/>
    <n v="277"/>
  </r>
  <r>
    <x v="1079"/>
    <d v="1905-07-14T00:00:00"/>
    <x v="3"/>
    <n v="350.95001200000002"/>
    <n v="352"/>
    <n v="339.85998499999999"/>
    <n v="341.13000499999998"/>
    <n v="341.13000499999998"/>
    <n v="-9.8200070000000323"/>
    <n v="4343800"/>
    <n v="-7.0539419087136901E-2"/>
    <n v="-17"/>
    <n v="-2.7981212891367652E-2"/>
    <n v="241"/>
  </r>
  <r>
    <x v="1080"/>
    <d v="1905-07-14T00:00:00"/>
    <x v="3"/>
    <n v="340"/>
    <n v="342.35998499999999"/>
    <n v="331.61999500000002"/>
    <n v="337.85998499999999"/>
    <n v="337.85998499999999"/>
    <n v="-2.1400150000000053"/>
    <n v="5105000"/>
    <n v="-8.9393939393939401E-2"/>
    <n v="-59"/>
    <n v="-6.2941617647058979E-3"/>
    <n v="660"/>
  </r>
  <r>
    <x v="1081"/>
    <d v="1905-07-14T00:00:00"/>
    <x v="3"/>
    <n v="333.22000100000002"/>
    <n v="351.67999300000002"/>
    <n v="333.22000100000002"/>
    <n v="348.60998499999999"/>
    <n v="348.60998499999999"/>
    <n v="15.38998399999997"/>
    <n v="20906900"/>
    <n v="-0.242612942612942"/>
    <n v="-1987"/>
    <n v="4.6185654984137549E-2"/>
    <n v="8190"/>
  </r>
  <r>
    <x v="1082"/>
    <d v="1905-07-14T00:00:00"/>
    <x v="3"/>
    <n v="245.199997"/>
    <n v="248.699997"/>
    <n v="212.509995"/>
    <n v="226.19000199999999"/>
    <n v="226.19000199999999"/>
    <n v="-19.009995000000004"/>
    <n v="133387500"/>
    <n v="-0.244598516607545"/>
    <n v="-3034"/>
    <n v="-7.7528528681017908E-2"/>
    <n v="12404"/>
  </r>
  <r>
    <x v="1083"/>
    <d v="1905-07-14T00:00:00"/>
    <x v="3"/>
    <n v="220"/>
    <n v="227.679993"/>
    <n v="211.520004"/>
    <n v="218.220001"/>
    <n v="218.220001"/>
    <n v="-1.7799990000000037"/>
    <n v="53501600"/>
    <n v="-0.22950819672131101"/>
    <n v="-1106"/>
    <n v="-8.0909045454545629E-3"/>
    <n v="4819"/>
  </r>
  <r>
    <x v="1084"/>
    <d v="1905-07-14T00:00:00"/>
    <x v="3"/>
    <n v="220.179993"/>
    <n v="226.270004"/>
    <n v="210.050003"/>
    <n v="215.520004"/>
    <n v="215.520004"/>
    <n v="-4.6599889999999959"/>
    <n v="37515100"/>
    <n v="-0.17078085642317301"/>
    <n v="-339"/>
    <n v="-2.1164452485017547E-2"/>
    <n v="1985"/>
  </r>
  <r>
    <x v="1085"/>
    <d v="1905-07-14T00:00:00"/>
    <x v="3"/>
    <n v="213.80999800000001"/>
    <n v="216.66000399999999"/>
    <n v="204.509995"/>
    <n v="209.91000399999999"/>
    <n v="209.91000399999999"/>
    <n v="-3.8999940000000208"/>
    <n v="28152000"/>
    <n v="-0.177740863787375"/>
    <n v="-214"/>
    <n v="-1.8240466004775045E-2"/>
    <n v="1204"/>
  </r>
  <r>
    <x v="1086"/>
    <d v="1905-07-14T00:00:00"/>
    <x v="3"/>
    <n v="208.800003"/>
    <n v="209.14999399999999"/>
    <n v="198.279999"/>
    <n v="198.39999399999999"/>
    <n v="198.39999399999999"/>
    <n v="-10.400009000000011"/>
    <n v="20318100"/>
    <n v="-0.20050761421319699"/>
    <n v="-237"/>
    <n v="-4.9808471506583317E-2"/>
    <n v="1182"/>
  </r>
  <r>
    <x v="1087"/>
    <d v="1905-07-14T00:00:00"/>
    <x v="3"/>
    <n v="194.009995"/>
    <n v="200.19000199999999"/>
    <n v="187.770004"/>
    <n v="188.53999300000001"/>
    <n v="188.53999300000001"/>
    <n v="-5.4700019999999938"/>
    <n v="22298400"/>
    <n v="-0.17517136329017499"/>
    <n v="-230"/>
    <n v="-2.8194434003258408E-2"/>
    <n v="1313"/>
  </r>
  <r>
    <x v="1088"/>
    <d v="1905-07-14T00:00:00"/>
    <x v="3"/>
    <n v="191.55999800000001"/>
    <n v="201.479996"/>
    <n v="185.60000600000001"/>
    <n v="199.520004"/>
    <n v="199.520004"/>
    <n v="7.9600059999999928"/>
    <n v="21363200"/>
    <n v="-0.171802054154995"/>
    <n v="-184"/>
    <n v="4.1553591997844939E-2"/>
    <n v="1071"/>
  </r>
  <r>
    <x v="1089"/>
    <d v="1905-07-14T00:00:00"/>
    <x v="3"/>
    <n v="198.679993"/>
    <n v="204.71000699999999"/>
    <n v="190"/>
    <n v="190.36000100000001"/>
    <n v="190.36000100000001"/>
    <n v="-8.319991999999985"/>
    <n v="16391900"/>
    <n v="-0.18086347724620699"/>
    <n v="-155"/>
    <n v="-4.1876345344948676E-2"/>
    <n v="857"/>
  </r>
  <r>
    <x v="1090"/>
    <d v="1905-07-14T00:00:00"/>
    <x v="4"/>
    <n v="191.71000699999999"/>
    <n v="200.21000699999999"/>
    <n v="190.009995"/>
    <n v="199.46000699999999"/>
    <n v="199.46000699999999"/>
    <n v="7.75"/>
    <n v="14591600"/>
    <n v="-0.122743682310469"/>
    <n v="-68"/>
    <n v="4.0425641422046375E-2"/>
    <n v="554"/>
  </r>
  <r>
    <x v="1091"/>
    <d v="1905-07-14T00:00:00"/>
    <x v="4"/>
    <n v="198.28999300000001"/>
    <n v="203.199997"/>
    <n v="194.770004"/>
    <n v="199.86999499999999"/>
    <n v="199.86999499999999"/>
    <n v="1.580001999999979"/>
    <n v="11839400"/>
    <n v="-0.14027149321266899"/>
    <n v="-62"/>
    <n v="7.9681378575669169E-3"/>
    <n v="442"/>
  </r>
  <r>
    <x v="1092"/>
    <d v="1905-07-14T00:00:00"/>
    <x v="4"/>
    <n v="197.64999399999999"/>
    <n v="204.38000500000001"/>
    <n v="191.009995"/>
    <n v="204.009995"/>
    <n v="204.009995"/>
    <n v="6.3600010000000111"/>
    <n v="12218800"/>
    <n v="-0.188405797101449"/>
    <n v="-104"/>
    <n v="3.2178098624177094E-2"/>
    <n v="552"/>
  </r>
  <r>
    <x v="1093"/>
    <d v="1905-07-14T00:00:00"/>
    <x v="4"/>
    <n v="200.449997"/>
    <n v="200.71000699999999"/>
    <n v="186"/>
    <n v="188.320007"/>
    <n v="188.320007"/>
    <n v="-12.129989999999992"/>
    <n v="13971300"/>
    <n v="-0.18739054290717999"/>
    <n v="-107"/>
    <n v="-6.051379486925107E-2"/>
    <n v="571"/>
  </r>
  <r>
    <x v="1094"/>
    <d v="1905-07-14T00:00:00"/>
    <x v="4"/>
    <n v="186.75"/>
    <n v="187.21000699999999"/>
    <n v="175.80999800000001"/>
    <n v="180.970001"/>
    <n v="180.970001"/>
    <n v="-5.7799990000000037"/>
    <n v="17185500"/>
    <n v="-0.180272108843537"/>
    <n v="-106"/>
    <n v="-3.0950463186077665E-2"/>
    <n v="588"/>
  </r>
  <r>
    <x v="1095"/>
    <d v="1905-07-14T00:00:00"/>
    <x v="4"/>
    <n v="177.66000399999999"/>
    <n v="183.199997"/>
    <n v="172.300003"/>
    <n v="173.10000600000001"/>
    <n v="173.10000600000001"/>
    <n v="-4.5599979999999789"/>
    <n v="14031300"/>
    <n v="-0.173241852487135"/>
    <n v="-101"/>
    <n v="-2.5666992555060279E-2"/>
    <n v="583"/>
  </r>
  <r>
    <x v="1096"/>
    <d v="1905-07-14T00:00:00"/>
    <x v="4"/>
    <n v="176.009995"/>
    <n v="181.86999499999999"/>
    <n v="170.570007"/>
    <n v="177.66000399999999"/>
    <n v="177.66000399999999"/>
    <n v="1.650008999999983"/>
    <n v="13883900"/>
    <n v="-0.146164978292329"/>
    <n v="-101"/>
    <n v="9.3745187595737564E-3"/>
    <n v="691"/>
  </r>
  <r>
    <x v="1097"/>
    <d v="1905-07-14T00:00:00"/>
    <x v="4"/>
    <n v="176.08999600000001"/>
    <n v="180.91999799999999"/>
    <n v="165.550003"/>
    <n v="166.36999499999999"/>
    <n v="166.36999499999999"/>
    <n v="-9.7200010000000248"/>
    <n v="12665500"/>
    <n v="-0.21002710027100199"/>
    <n v="-155"/>
    <n v="-5.519905287521288E-2"/>
    <n v="738"/>
  </r>
  <r>
    <x v="1098"/>
    <d v="1905-07-14T00:00:00"/>
    <x v="4"/>
    <n v="163.96000699999999"/>
    <n v="177.58000200000001"/>
    <n v="162.71000699999999"/>
    <n v="174.30999800000001"/>
    <n v="174.30999800000001"/>
    <n v="10.349991000000017"/>
    <n v="17662100"/>
    <n v="-0.15040000000000001"/>
    <n v="-94"/>
    <n v="6.3125094889755748E-2"/>
    <n v="625"/>
  </r>
  <r>
    <x v="1099"/>
    <d v="1905-07-14T00:00:00"/>
    <x v="4"/>
    <n v="177.16000399999999"/>
    <n v="187.770004"/>
    <n v="176.009995"/>
    <n v="187.63999899999999"/>
    <n v="187.63999899999999"/>
    <n v="10.479995000000002"/>
    <n v="13136300"/>
    <n v="-0.121703853955375"/>
    <n v="-60"/>
    <n v="5.915553603171065E-2"/>
    <n v="493"/>
  </r>
  <r>
    <x v="1100"/>
    <d v="1905-07-14T00:00:00"/>
    <x v="4"/>
    <n v="193.300003"/>
    <n v="195.88999899999999"/>
    <n v="185.699997"/>
    <n v="186.509995"/>
    <n v="186.509995"/>
    <n v="-6.7900080000000003"/>
    <n v="16145000"/>
    <n v="-7.6576576576576502E-2"/>
    <n v="-51"/>
    <n v="-3.5126786831969167E-2"/>
    <n v="666"/>
  </r>
  <r>
    <x v="1101"/>
    <d v="1905-07-14T00:00:00"/>
    <x v="4"/>
    <n v="189.16999799999999"/>
    <n v="191.39999399999999"/>
    <n v="185.16999799999999"/>
    <n v="190.55999800000001"/>
    <n v="190.55999800000001"/>
    <n v="1.3900000000000148"/>
    <n v="9876700"/>
    <n v="-0.15853658536585299"/>
    <n v="-91"/>
    <n v="7.3478882206258461E-3"/>
    <n v="574"/>
  </r>
  <r>
    <x v="1102"/>
    <d v="1905-07-14T00:00:00"/>
    <x v="4"/>
    <n v="186.720001"/>
    <n v="187.699997"/>
    <n v="176.270004"/>
    <n v="177.19000199999999"/>
    <n v="177.19000199999999"/>
    <n v="-9.5299990000000037"/>
    <n v="9665600"/>
    <n v="-0.21247563352826501"/>
    <n v="-109"/>
    <n v="-5.1038983231367935E-2"/>
    <n v="513"/>
  </r>
  <r>
    <x v="1103"/>
    <d v="1905-07-14T00:00:00"/>
    <x v="4"/>
    <n v="178.050003"/>
    <n v="186.300003"/>
    <n v="175.71000699999999"/>
    <n v="183.479996"/>
    <n v="183.479996"/>
    <n v="5.4299929999999961"/>
    <n v="10448500"/>
    <n v="-0.148325358851674"/>
    <n v="-62"/>
    <n v="3.04970115614095E-2"/>
    <n v="418"/>
  </r>
  <r>
    <x v="1104"/>
    <d v="1905-07-14T00:00:00"/>
    <x v="4"/>
    <n v="185.86999499999999"/>
    <n v="190.19000199999999"/>
    <n v="179.770004"/>
    <n v="186.35000600000001"/>
    <n v="186.35000600000001"/>
    <n v="0.48001100000001884"/>
    <n v="10429400"/>
    <n v="-0.147420147420147"/>
    <n v="-60"/>
    <n v="2.5825093501509961E-3"/>
    <n v="407"/>
  </r>
  <r>
    <x v="1105"/>
    <d v="1905-07-14T00:00:00"/>
    <x v="4"/>
    <n v="186.14999399999999"/>
    <n v="187.66000399999999"/>
    <n v="177.88999899999999"/>
    <n v="187.44000199999999"/>
    <n v="187.44000199999999"/>
    <n v="1.2900080000000003"/>
    <n v="9602000"/>
    <n v="-0.104683195592286"/>
    <n v="-38"/>
    <n v="6.929938445230357E-3"/>
    <n v="363"/>
  </r>
  <r>
    <x v="1106"/>
    <d v="1905-07-14T00:00:00"/>
    <x v="4"/>
    <n v="182"/>
    <n v="184"/>
    <n v="177.16999799999999"/>
    <n v="180.33999600000001"/>
    <n v="180.33999600000001"/>
    <n v="-1.6600039999999865"/>
    <n v="7706400"/>
    <n v="-0.127710843373493"/>
    <n v="-53"/>
    <n v="-9.1209010989010252E-3"/>
    <n v="415"/>
  </r>
  <r>
    <x v="1107"/>
    <d v="1905-07-14T00:00:00"/>
    <x v="4"/>
    <n v="180.279999"/>
    <n v="188.86999499999999"/>
    <n v="180.16999799999999"/>
    <n v="187.83000200000001"/>
    <n v="187.83000200000001"/>
    <n v="7.5500030000000038"/>
    <n v="8522100"/>
    <n v="-6.4794816414686804E-2"/>
    <n v="-30"/>
    <n v="4.1879315741509424E-2"/>
    <n v="463"/>
  </r>
  <r>
    <x v="1108"/>
    <d v="1905-07-14T00:00:00"/>
    <x v="4"/>
    <n v="186.490005"/>
    <n v="192.33999600000001"/>
    <n v="183.08999600000001"/>
    <n v="191.39999399999999"/>
    <n v="191.39999399999999"/>
    <n v="4.9099889999999959"/>
    <n v="8049900"/>
    <n v="-8.1339712918660198E-2"/>
    <n v="-34"/>
    <n v="2.6328429772952154E-2"/>
    <n v="418"/>
  </r>
  <r>
    <x v="1109"/>
    <d v="1905-07-14T00:00:00"/>
    <x v="4"/>
    <n v="193.19000199999999"/>
    <n v="195.25"/>
    <n v="190.36999499999999"/>
    <n v="195.19000199999999"/>
    <n v="195.19000199999999"/>
    <n v="2"/>
    <n v="8586000"/>
    <n v="-7.0754716981132004E-2"/>
    <n v="-30"/>
    <n v="1.0352502610357653E-2"/>
    <n v="424"/>
  </r>
  <r>
    <x v="1110"/>
    <d v="1905-07-14T00:00:00"/>
    <x v="4"/>
    <n v="196.179993"/>
    <n v="199.949997"/>
    <n v="190.800003"/>
    <n v="197.44000199999999"/>
    <n v="197.44000199999999"/>
    <n v="1.2600089999999966"/>
    <n v="11398500"/>
    <n v="-3.9014373716632397E-2"/>
    <n v="-19"/>
    <n v="6.4227191607657804E-3"/>
    <n v="487"/>
  </r>
  <r>
    <x v="1111"/>
    <d v="1905-07-14T00:00:00"/>
    <x v="5"/>
    <n v="198.699997"/>
    <n v="202.740005"/>
    <n v="191.66000399999999"/>
    <n v="192.91000399999999"/>
    <n v="192.91000399999999"/>
    <n v="-5.7899930000000097"/>
    <n v="8416200"/>
    <n v="-0.10121457489878501"/>
    <n v="-50"/>
    <n v="-2.9139371350871284E-2"/>
    <n v="494"/>
  </r>
  <r>
    <x v="1112"/>
    <d v="1905-07-14T00:00:00"/>
    <x v="5"/>
    <n v="192.020004"/>
    <n v="205.470001"/>
    <n v="191.720001"/>
    <n v="205.08999600000001"/>
    <n v="205.08999600000001"/>
    <n v="13.069992000000013"/>
    <n v="9623100"/>
    <n v="-3.0357142857142801E-2"/>
    <n v="-17"/>
    <n v="6.8065783396192472E-2"/>
    <n v="560"/>
  </r>
  <r>
    <x v="1113"/>
    <d v="1905-07-14T00:00:00"/>
    <x v="5"/>
    <n v="200.13999899999999"/>
    <n v="202.949997"/>
    <n v="198.050003"/>
    <n v="198.979996"/>
    <n v="198.979996"/>
    <n v="-1.160002999999989"/>
    <n v="7191800"/>
    <n v="-8.1012658227848103E-2"/>
    <n v="-32"/>
    <n v="-5.7959578584787994E-3"/>
    <n v="395"/>
  </r>
  <r>
    <x v="1114"/>
    <d v="1905-07-14T00:00:00"/>
    <x v="5"/>
    <n v="202.08999600000001"/>
    <n v="203.86999499999999"/>
    <n v="195.38000500000001"/>
    <n v="197.13999899999999"/>
    <n v="197.13999899999999"/>
    <n v="-4.9499970000000246"/>
    <n v="5372000"/>
    <n v="-0.145522388059701"/>
    <n v="-39"/>
    <n v="-2.449402295005253E-2"/>
    <n v="268"/>
  </r>
  <r>
    <x v="1115"/>
    <d v="1905-07-14T00:00:00"/>
    <x v="5"/>
    <n v="194.86999499999999"/>
    <n v="199.60000600000001"/>
    <n v="193"/>
    <n v="198.61000100000001"/>
    <n v="198.61000100000001"/>
    <n v="3.7400060000000224"/>
    <n v="4839500"/>
    <n v="-0.18"/>
    <n v="-63"/>
    <n v="1.919231331637291E-2"/>
    <n v="350"/>
  </r>
  <r>
    <x v="1116"/>
    <d v="1905-07-14T00:00:00"/>
    <x v="5"/>
    <n v="197.949997"/>
    <n v="207.38000500000001"/>
    <n v="197.63999899999999"/>
    <n v="202.83000200000001"/>
    <n v="202.83000200000001"/>
    <n v="4.8800050000000113"/>
    <n v="7244100"/>
    <n v="-0.13033175355450199"/>
    <n v="-110"/>
    <n v="2.4652715705774986E-2"/>
    <n v="844"/>
  </r>
  <r>
    <x v="1117"/>
    <d v="1905-07-14T00:00:00"/>
    <x v="5"/>
    <n v="200.64999399999999"/>
    <n v="201.69000199999999"/>
    <n v="192.53999300000001"/>
    <n v="192.770004"/>
    <n v="192.770004"/>
    <n v="-7.8799899999999923"/>
    <n v="6949000"/>
    <n v="-0.16335540838852"/>
    <n v="-74"/>
    <n v="-3.9272316150679741E-2"/>
    <n v="453"/>
  </r>
  <r>
    <x v="1118"/>
    <d v="1905-07-14T00:00:00"/>
    <x v="5"/>
    <n v="182.63999899999999"/>
    <n v="185.86000100000001"/>
    <n v="180.85000600000001"/>
    <n v="182.94000199999999"/>
    <n v="182.94000199999999"/>
    <n v="0.30000300000000379"/>
    <n v="13065600"/>
    <n v="-0.15625"/>
    <n v="-90"/>
    <n v="1.6425919932249004E-3"/>
    <n v="576"/>
  </r>
  <r>
    <x v="1119"/>
    <d v="1905-07-14T00:00:00"/>
    <x v="5"/>
    <n v="177.070007"/>
    <n v="179.08999600000001"/>
    <n v="168.96000699999999"/>
    <n v="169.69000199999999"/>
    <n v="169.69000199999999"/>
    <n v="-7.3800050000000113"/>
    <n v="10222400"/>
    <n v="-0.17128463476070499"/>
    <n v="-68"/>
    <n v="-4.1678458848200144E-2"/>
    <n v="397"/>
  </r>
  <r>
    <x v="1120"/>
    <d v="1905-07-14T00:00:00"/>
    <x v="5"/>
    <n v="169.75"/>
    <n v="172.05999800000001"/>
    <n v="164.279999"/>
    <n v="167.53999300000001"/>
    <n v="167.53999300000001"/>
    <n v="-2.2100069999999903"/>
    <n v="11555300"/>
    <n v="-0.16475095785440599"/>
    <n v="-86"/>
    <n v="-1.3019187039764303E-2"/>
    <n v="522"/>
  </r>
  <r>
    <x v="1121"/>
    <d v="1905-07-14T00:00:00"/>
    <x v="5"/>
    <n v="169.259995"/>
    <n v="183.85000600000001"/>
    <n v="168.529999"/>
    <n v="180.11000100000001"/>
    <n v="180.11000100000001"/>
    <n v="10.850006000000008"/>
    <n v="12396000"/>
    <n v="-0.14232902033271699"/>
    <n v="-77"/>
    <n v="6.4102601444600116E-2"/>
    <n v="541"/>
  </r>
  <r>
    <x v="1122"/>
    <d v="1905-07-14T00:00:00"/>
    <x v="5"/>
    <n v="174"/>
    <n v="176.270004"/>
    <n v="171.55999800000001"/>
    <n v="173.35000600000001"/>
    <n v="173.35000600000001"/>
    <n v="-0.64999399999999241"/>
    <n v="8201300"/>
    <n v="-0.12532637075718001"/>
    <n v="-48"/>
    <n v="-3.7355977011493818E-3"/>
    <n v="383"/>
  </r>
  <r>
    <x v="1123"/>
    <d v="1905-07-14T00:00:00"/>
    <x v="5"/>
    <n v="173.63000500000001"/>
    <n v="179.64999399999999"/>
    <n v="173.33999600000001"/>
    <n v="175.509995"/>
    <n v="175.509995"/>
    <n v="1.8799899999999923"/>
    <n v="12133400"/>
    <n v="-1.3793103448275799E-2"/>
    <n v="-4"/>
    <n v="1.0827564049197557E-2"/>
    <n v="290"/>
  </r>
  <r>
    <x v="1124"/>
    <d v="1905-07-14T00:00:00"/>
    <x v="5"/>
    <n v="177.60000600000001"/>
    <n v="178.61999499999999"/>
    <n v="169.800003"/>
    <n v="170.91000399999999"/>
    <n v="170.91000399999999"/>
    <n v="-6.6900020000000211"/>
    <n v="12177600"/>
    <n v="-0.17484662576687099"/>
    <n v="-114"/>
    <n v="-3.7668928907581348E-2"/>
    <n v="652"/>
  </r>
  <r>
    <x v="1125"/>
    <d v="1905-07-14T00:00:00"/>
    <x v="5"/>
    <n v="170.75"/>
    <n v="182.820007"/>
    <n v="170.199997"/>
    <n v="178.88999899999999"/>
    <n v="178.88999899999999"/>
    <n v="8.1399989999999889"/>
    <n v="11992400"/>
    <n v="-3.38983050847457E-2"/>
    <n v="-22"/>
    <n v="4.76720292825768E-2"/>
    <n v="649"/>
  </r>
  <r>
    <x v="1126"/>
    <d v="1905-07-14T00:00:00"/>
    <x v="5"/>
    <n v="180.5"/>
    <n v="182.759995"/>
    <n v="175.86999499999999"/>
    <n v="181.71000699999999"/>
    <n v="181.71000699999999"/>
    <n v="1.2100069999999903"/>
    <n v="9538200"/>
    <n v="-7.8402366863905296E-2"/>
    <n v="-53"/>
    <n v="6.7036398891966217E-3"/>
    <n v="676"/>
  </r>
  <r>
    <x v="1127"/>
    <d v="1905-07-14T00:00:00"/>
    <x v="5"/>
    <n v="183.5"/>
    <n v="191.19000199999999"/>
    <n v="181.83999600000001"/>
    <n v="190.85000600000001"/>
    <n v="190.85000600000001"/>
    <n v="7.3500060000000076"/>
    <n v="12424000"/>
    <n v="-6.5743944636678195E-2"/>
    <n v="-38"/>
    <n v="4.0054528610354266E-2"/>
    <n v="578"/>
  </r>
  <r>
    <x v="1128"/>
    <d v="1905-07-14T00:00:00"/>
    <x v="5"/>
    <n v="191.770004"/>
    <n v="191.779999"/>
    <n v="182.38999899999999"/>
    <n v="189.13999899999999"/>
    <n v="189.13999899999999"/>
    <n v="-2.6300050000000113"/>
    <n v="8363900"/>
    <n v="-3.5608308605341199E-2"/>
    <n v="-12"/>
    <n v="-1.3714371096326469E-2"/>
    <n v="337"/>
  </r>
  <r>
    <x v="1129"/>
    <d v="1905-07-14T00:00:00"/>
    <x v="5"/>
    <n v="189.199997"/>
    <n v="192.199997"/>
    <n v="179.36999499999999"/>
    <n v="179.60000600000001"/>
    <n v="179.60000600000001"/>
    <n v="-9.5999909999999886"/>
    <n v="7185400"/>
    <n v="-8.7999999999999995E-2"/>
    <n v="-33"/>
    <n v="-5.0739910952535529E-2"/>
    <n v="375"/>
  </r>
  <r>
    <x v="1130"/>
    <d v="1905-07-14T00:00:00"/>
    <x v="5"/>
    <n v="179.550003"/>
    <n v="180.66999799999999"/>
    <n v="175.10000600000001"/>
    <n v="178.36000100000001"/>
    <n v="178.36000100000001"/>
    <n v="-1.1900019999999927"/>
    <n v="5766800"/>
    <n v="-8.2872928176795493E-2"/>
    <n v="-30"/>
    <n v="-6.6276913401109366E-3"/>
    <n v="362"/>
  </r>
  <r>
    <x v="1131"/>
    <d v="1905-07-14T00:00:00"/>
    <x v="5"/>
    <n v="177.070007"/>
    <n v="179.449997"/>
    <n v="170.300003"/>
    <n v="174.86999499999999"/>
    <n v="174.86999499999999"/>
    <n v="-2.2000120000000152"/>
    <n v="7894700"/>
    <n v="-6.6666666666666596E-2"/>
    <n v="-28"/>
    <n v="-1.242453217952386E-2"/>
    <n v="420"/>
  </r>
  <r>
    <x v="1132"/>
    <d v="1905-07-14T00:00:00"/>
    <x v="6"/>
    <n v="176.490005"/>
    <n v="180.10000600000001"/>
    <n v="174.270004"/>
    <n v="179.949997"/>
    <n v="179.949997"/>
    <n v="3.4599919999999997"/>
    <n v="5194700"/>
    <n v="-6.2314540059347098E-2"/>
    <n v="-21"/>
    <n v="1.9604464286801963E-2"/>
    <n v="337"/>
  </r>
  <r>
    <x v="1133"/>
    <d v="1905-07-14T00:00:00"/>
    <x v="6"/>
    <n v="176.279999"/>
    <n v="185.91999799999999"/>
    <n v="172.679993"/>
    <n v="185.88000500000001"/>
    <n v="185.88000500000001"/>
    <n v="9.6000060000000076"/>
    <n v="7334300"/>
    <n v="-5.8823529411764698E-2"/>
    <n v="-25"/>
    <n v="5.4458849866455966E-2"/>
    <n v="425"/>
  </r>
  <r>
    <x v="1134"/>
    <d v="1905-07-14T00:00:00"/>
    <x v="6"/>
    <n v="185.199997"/>
    <n v="186.220001"/>
    <n v="180.820007"/>
    <n v="184.05999800000001"/>
    <n v="184.05999800000001"/>
    <n v="-1.1399989999999889"/>
    <n v="5753400"/>
    <n v="-1.4869888475836399E-2"/>
    <n v="-8"/>
    <n v="-6.1555022595383138E-3"/>
    <n v="538"/>
  </r>
  <r>
    <x v="1135"/>
    <d v="1905-07-14T00:00:00"/>
    <x v="6"/>
    <n v="184.270004"/>
    <n v="190.21000699999999"/>
    <n v="183.5"/>
    <n v="189.270004"/>
    <n v="189.270004"/>
    <n v="5"/>
    <n v="6334500"/>
    <n v="-5.5427251732101598E-2"/>
    <n v="-24"/>
    <n v="2.7134096116913309E-2"/>
    <n v="433"/>
  </r>
  <r>
    <x v="1136"/>
    <d v="1905-07-14T00:00:00"/>
    <x v="6"/>
    <n v="186.020004"/>
    <n v="189.91000399999999"/>
    <n v="182.75"/>
    <n v="186.979996"/>
    <n v="186.979996"/>
    <n v="0.95999199999999973"/>
    <n v="5831300"/>
    <n v="-4.3010752688171998E-2"/>
    <n v="-12"/>
    <n v="5.1606922876961114E-3"/>
    <n v="2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4475FF-9B71-4E2E-94A2-A4446D0E21F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8" firstHeaderRow="1" firstDataRow="1" firstDataCol="1"/>
  <pivotFields count="17">
    <pivotField numFmtId="14"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numFmtId="14" showAll="0"/>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
    <field x="16"/>
  </rowFields>
  <rowItems count="5">
    <i>
      <x v="1"/>
    </i>
    <i>
      <x v="2"/>
    </i>
    <i>
      <x v="3"/>
    </i>
    <i>
      <x v="4"/>
    </i>
    <i>
      <x v="5"/>
    </i>
  </rowItems>
  <colItems count="1">
    <i/>
  </colItems>
  <dataFields count="1">
    <dataField name="Average of Close" fld="6" subtotal="average" baseField="16" baseItem="1"/>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765994-DD2B-4EF4-85B9-212D43BC2B2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15" firstHeaderRow="0" firstDataRow="1" firstDataCol="1"/>
  <pivotFields count="17">
    <pivotField numFmtId="14"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dataField="1" showAll="0"/>
    <pivotField showAll="0"/>
    <pivotField showAll="0" defaultSubtotal="0"/>
    <pivotField showAll="0" defaultSubtotal="0">
      <items count="6">
        <item x="0"/>
        <item x="1"/>
        <item x="2"/>
        <item x="3"/>
        <item x="4"/>
        <item x="5"/>
      </items>
    </pivotField>
    <pivotField showAll="0" defaultSubtotal="0">
      <items count="7">
        <item x="0"/>
        <item x="1"/>
        <item x="2"/>
        <item x="3"/>
        <item x="4"/>
        <item x="5"/>
        <item x="6"/>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Price Change" fld="8" baseField="0" baseItem="0"/>
    <dataField name="Average of Daily Return %" fld="12"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46D42C-BB88-4F9F-BDDE-EEC1C12CEA9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5" firstHeaderRow="1" firstDataRow="1" firstDataCol="1"/>
  <pivotFields count="17">
    <pivotField numFmtId="14"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7">
        <item x="0"/>
        <item x="1"/>
        <item x="2"/>
        <item x="3"/>
        <item x="4"/>
        <item x="5"/>
        <item x="6"/>
      </items>
    </pivotField>
  </pivotFields>
  <rowFields count="1">
    <field x="2"/>
  </rowFields>
  <rowItems count="12">
    <i>
      <x/>
    </i>
    <i>
      <x v="1"/>
    </i>
    <i>
      <x v="2"/>
    </i>
    <i>
      <x v="3"/>
    </i>
    <i>
      <x v="4"/>
    </i>
    <i>
      <x v="5"/>
    </i>
    <i>
      <x v="6"/>
    </i>
    <i>
      <x v="7"/>
    </i>
    <i>
      <x v="8"/>
    </i>
    <i>
      <x v="9"/>
    </i>
    <i>
      <x v="10"/>
    </i>
    <i>
      <x v="11"/>
    </i>
  </rowItems>
  <colItems count="1">
    <i/>
  </colItems>
  <dataFields count="1">
    <dataField name="Sum of Volume" fld="9"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40848B-4C70-4758-8827-60460CD050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numFmtId="14"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numFmtId="14" showAll="0"/>
    <pivotField showAll="0">
      <items count="13">
        <item x="0"/>
        <item x="1"/>
        <item x="2"/>
        <item x="3"/>
        <item x="4"/>
        <item x="5"/>
        <item x="6"/>
        <item x="7"/>
        <item x="8"/>
        <item x="9"/>
        <item x="10"/>
        <item x="11"/>
        <item t="default"/>
      </items>
    </pivotField>
    <pivotField showAll="0"/>
    <pivotField dataField="1" showAll="0"/>
    <pivotField dataField="1" showAll="0"/>
    <pivotField dataField="1" showAll="0"/>
    <pivotField showAll="0"/>
    <pivotField showAll="0"/>
    <pivotField dataField="1"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Items count="1">
    <i/>
  </rowItems>
  <colFields count="1">
    <field x="-2"/>
  </colFields>
  <colItems count="5">
    <i>
      <x/>
    </i>
    <i i="1">
      <x v="1"/>
    </i>
    <i i="2">
      <x v="2"/>
    </i>
    <i i="3">
      <x v="3"/>
    </i>
    <i i="4">
      <x v="4"/>
    </i>
  </colItems>
  <dataFields count="5">
    <dataField name="Average of Close" fld="6" subtotal="average" baseField="0" baseItem="1"/>
    <dataField name="Max. of High" fld="4" subtotal="max" baseField="0" baseItem="1"/>
    <dataField name="Min. of Low" fld="5" subtotal="min" baseField="0" baseItem="1"/>
    <dataField name="Sum of Volume" fld="9" baseField="0" baseItem="1"/>
    <dataField name="Average of Daily Return %" fld="12" subtotal="average" baseField="0" baseItem="3"/>
  </dataFields>
  <formats count="9">
    <format dxfId="13">
      <pivotArea type="all" dataOnly="0" outline="0" fieldPosition="0"/>
    </format>
    <format dxfId="12">
      <pivotArea outline="0" collapsedLevelsAreSubtotals="1" fieldPosition="0"/>
    </format>
    <format dxfId="11">
      <pivotArea dataOnly="0" labelOnly="1" outline="0" fieldPosition="0">
        <references count="1">
          <reference field="4294967294" count="4">
            <x v="0"/>
            <x v="1"/>
            <x v="2"/>
            <x v="3"/>
          </reference>
        </references>
      </pivotArea>
    </format>
    <format dxfId="10">
      <pivotArea type="all" dataOnly="0" outline="0" fieldPosition="0"/>
    </format>
    <format dxfId="9">
      <pivotArea outline="0" collapsedLevelsAreSubtotals="1" fieldPosition="0"/>
    </format>
    <format dxfId="8">
      <pivotArea dataOnly="0" labelOnly="1" outline="0" fieldPosition="0">
        <references count="1">
          <reference field="4294967294" count="5">
            <x v="0"/>
            <x v="1"/>
            <x v="2"/>
            <x v="3"/>
            <x v="4"/>
          </reference>
        </references>
      </pivotArea>
    </format>
    <format dxfId="7">
      <pivotArea type="all" dataOnly="0" outline="0" fieldPosition="0"/>
    </format>
    <format dxfId="6">
      <pivotArea outline="0" collapsedLevelsAreSubtotals="1" fieldPosition="0"/>
    </format>
    <format dxfId="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20C648C-DA70-4AC4-8B2F-13ABFEFEC420}" sourceName="Month">
  <pivotTables>
    <pivotTable tabId="2" name="PivotTable1"/>
    <pivotTable tabId="3" name="PivotTable1"/>
    <pivotTable tabId="4" name="PivotTable1"/>
    <pivotTable tabId="6" name="PivotTable1"/>
  </pivotTables>
  <data>
    <tabular pivotCacheId="189942318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07A94777-B1B1-4A75-8309-11493B643F09}" sourceName="Quarters (date)">
  <pivotTables>
    <pivotTable tabId="2" name="PivotTable1"/>
    <pivotTable tabId="3" name="PivotTable1"/>
    <pivotTable tabId="4" name="PivotTable1"/>
    <pivotTable tabId="6" name="PivotTable1"/>
  </pivotTables>
  <data>
    <tabular pivotCacheId="1899423180">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894A72B2-25A7-4730-A6E5-D9293F9B77FE}" sourceName="Years (date)">
  <pivotTables>
    <pivotTable tabId="4" name="PivotTable1"/>
    <pivotTable tabId="2" name="PivotTable1"/>
    <pivotTable tabId="3" name="PivotTable1"/>
    <pivotTable tabId="6" name="PivotTable1"/>
  </pivotTables>
  <data>
    <tabular pivotCacheId="1899423180">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D91ED6D-D0B2-4BE5-8758-F4176C0D6603}" cache="Slicer_Month" caption="Month" style="Slicer Style 1" rowHeight="257175"/>
  <slicer name="Month 1" xr10:uid="{5257893D-D3A3-4FE8-B546-0181554C2F00}" cache="Slicer_Month" caption="Month" style="Slicer Style 1" rowHeight="257175"/>
  <slicer name="Quarters (date)" xr10:uid="{ABA5E016-DD36-42D5-8BE4-B39D231E6DD8}" cache="Slicer_Quarters__date" caption="Quarters (date)" style="Slicer Style 1" rowHeight="257175"/>
  <slicer name="Quarters (date) 1" xr10:uid="{581D049F-FF5A-4347-99B6-4E87E489C5F6}" cache="Slicer_Quarters__date" caption="Quarters (date)" style="Slicer Style 1" rowHeight="257175"/>
  <slicer name="Years (date) 1" xr10:uid="{FEC0AB0F-996C-447A-A646-F63328F93ABA}" cache="Slicer_Years__date1" caption="Years (date)" style="Slicer Style 1" rowHeight="257175"/>
  <slicer name="Years (date) 2" xr10:uid="{16B4989E-7FB9-4165-9E81-5565A84DDED7}" cache="Slicer_Years__date1" caption="Years (date)"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E99090E3-9D2D-4D16-BF1A-CA7D54DDFAF4}" cache="Slicer_Years__date1" caption="Years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D84DD-48DE-43B4-80F8-1B56C8175636}" name="Table1" displayName="Table1" ref="A1:N1138" totalsRowShown="0">
  <autoFilter ref="A1:N1138" xr:uid="{5D2D84DD-48DE-43B4-80F8-1B56C8175636}"/>
  <tableColumns count="14">
    <tableColumn id="1" xr3:uid="{66D09B8D-E5BA-4773-8CF9-C4199E5BB0BF}" name="date" dataDxfId="4"/>
    <tableColumn id="11" xr3:uid="{75CA94C4-C125-4F6C-9E46-CDF7A35CBE49}" name="Year" dataDxfId="3">
      <calculatedColumnFormula>YEAR(A2)</calculatedColumnFormula>
    </tableColumn>
    <tableColumn id="12" xr3:uid="{B875F7FD-3DED-4DBD-AD1E-101F7BFD0C6A}" name="Month" dataDxfId="2">
      <calculatedColumnFormula>TEXT(A2,"mmm")</calculatedColumnFormula>
    </tableColumn>
    <tableColumn id="2" xr3:uid="{1AA1EA10-46A4-42CB-B920-4DCB323B434F}" name="Open"/>
    <tableColumn id="3" xr3:uid="{5C138689-C9FC-4FCF-80E0-CDF8A74EE67D}" name="High"/>
    <tableColumn id="4" xr3:uid="{345289DC-1A7B-43BF-B38D-EA29912101AA}" name="Low"/>
    <tableColumn id="5" xr3:uid="{556E8D34-AA32-4986-822A-F617260618D4}" name="Close"/>
    <tableColumn id="6" xr3:uid="{4D996F85-99D5-493F-AE09-F21687B2A060}" name="Adj Close"/>
    <tableColumn id="13" xr3:uid="{63BD84CC-559E-4F17-8392-4F48E26FE8F1}" name="Price Change" dataDxfId="1">
      <calculatedColumnFormula>G2-D2</calculatedColumnFormula>
    </tableColumn>
    <tableColumn id="7" xr3:uid="{D8663E03-17D6-4292-9FD9-9DE9A8CA56FF}" name="Volume"/>
    <tableColumn id="8" xr3:uid="{3327807D-6A1A-404E-B6D7-903A15597067}" name="P_mean"/>
    <tableColumn id="9" xr3:uid="{9BE89AE4-9F9B-4D1B-9FFB-164EF36C995B}" name="P_sum"/>
    <tableColumn id="14" xr3:uid="{BAA18A2C-30CE-4EDE-A2B8-24498CE416DD}" name="Daily Return %" dataDxfId="0">
      <calculatedColumnFormula>(G2-D2)/D2</calculatedColumnFormula>
    </tableColumn>
    <tableColumn id="10" xr3:uid="{32DACA74-7BC4-42F3-B35D-7C87184D3B71}" name="twt_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D83A-4DD2-4A42-8FFC-B17A3805852F}">
  <dimension ref="A3:G8"/>
  <sheetViews>
    <sheetView workbookViewId="0">
      <selection activeCell="L12" sqref="L12"/>
    </sheetView>
  </sheetViews>
  <sheetFormatPr defaultRowHeight="15" x14ac:dyDescent="0.25"/>
  <cols>
    <col min="1" max="1" width="13.42578125" bestFit="1" customWidth="1"/>
    <col min="2" max="2" width="16.28515625" bestFit="1" customWidth="1"/>
  </cols>
  <sheetData>
    <row r="3" spans="1:7" x14ac:dyDescent="0.25">
      <c r="A3" s="2" t="s">
        <v>14</v>
      </c>
      <c r="B3" t="s">
        <v>20</v>
      </c>
    </row>
    <row r="4" spans="1:7" x14ac:dyDescent="0.25">
      <c r="A4" s="3" t="s">
        <v>15</v>
      </c>
      <c r="B4">
        <v>319.29031900796809</v>
      </c>
    </row>
    <row r="5" spans="1:7" x14ac:dyDescent="0.25">
      <c r="A5" s="3" t="s">
        <v>16</v>
      </c>
      <c r="B5">
        <v>328.87238006746043</v>
      </c>
    </row>
    <row r="6" spans="1:7" x14ac:dyDescent="0.25">
      <c r="A6" s="3" t="s">
        <v>17</v>
      </c>
      <c r="B6">
        <v>446.82723286956508</v>
      </c>
    </row>
    <row r="7" spans="1:7" x14ac:dyDescent="0.25">
      <c r="A7" s="3" t="s">
        <v>18</v>
      </c>
      <c r="B7">
        <v>558.21769729365053</v>
      </c>
    </row>
    <row r="8" spans="1:7" x14ac:dyDescent="0.25">
      <c r="A8" s="3" t="s">
        <v>19</v>
      </c>
      <c r="B8">
        <v>313.82705485271333</v>
      </c>
      <c r="G8" s="4"/>
    </row>
  </sheetData>
  <conditionalFormatting sqref="A3:B3 A4:A8">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415C-2B84-4EDF-93A1-11DDE1438EDE}">
  <dimension ref="A3:C15"/>
  <sheetViews>
    <sheetView workbookViewId="0">
      <selection activeCell="F8" sqref="F8"/>
    </sheetView>
  </sheetViews>
  <sheetFormatPr defaultRowHeight="15" x14ac:dyDescent="0.25"/>
  <cols>
    <col min="1" max="1" width="13.42578125" bestFit="1" customWidth="1"/>
    <col min="2" max="2" width="19.85546875" bestFit="1" customWidth="1"/>
    <col min="3" max="3" width="24.42578125" bestFit="1" customWidth="1"/>
  </cols>
  <sheetData>
    <row r="3" spans="1:3" x14ac:dyDescent="0.25">
      <c r="A3" s="2" t="s">
        <v>14</v>
      </c>
      <c r="B3" t="s">
        <v>33</v>
      </c>
      <c r="C3" t="s">
        <v>34</v>
      </c>
    </row>
    <row r="4" spans="1:3" x14ac:dyDescent="0.25">
      <c r="A4" s="3" t="s">
        <v>21</v>
      </c>
      <c r="B4">
        <v>-52.889938000000228</v>
      </c>
      <c r="C4">
        <v>9.8277165561428889E-4</v>
      </c>
    </row>
    <row r="5" spans="1:3" x14ac:dyDescent="0.25">
      <c r="A5" s="3" t="s">
        <v>22</v>
      </c>
      <c r="B5">
        <v>90.72016499999998</v>
      </c>
      <c r="C5">
        <v>2.8292201898878436E-3</v>
      </c>
    </row>
    <row r="6" spans="1:3" x14ac:dyDescent="0.25">
      <c r="A6" s="3" t="s">
        <v>23</v>
      </c>
      <c r="B6">
        <v>-85.500033000000599</v>
      </c>
      <c r="C6">
        <v>-1.5571670613876041E-3</v>
      </c>
    </row>
    <row r="7" spans="1:3" x14ac:dyDescent="0.25">
      <c r="A7" s="3" t="s">
        <v>24</v>
      </c>
      <c r="B7">
        <v>-42.440084000000041</v>
      </c>
      <c r="C7">
        <v>-1.9289238541760345E-3</v>
      </c>
    </row>
    <row r="8" spans="1:3" x14ac:dyDescent="0.25">
      <c r="A8" s="3" t="s">
        <v>25</v>
      </c>
      <c r="B8">
        <v>30.330122000000244</v>
      </c>
      <c r="C8">
        <v>1.4870431528999613E-3</v>
      </c>
    </row>
    <row r="9" spans="1:3" x14ac:dyDescent="0.25">
      <c r="A9" s="3" t="s">
        <v>26</v>
      </c>
      <c r="B9">
        <v>5.7598140000003468</v>
      </c>
      <c r="C9">
        <v>3.0426965123426446E-4</v>
      </c>
    </row>
    <row r="10" spans="1:3" x14ac:dyDescent="0.25">
      <c r="A10" s="3" t="s">
        <v>27</v>
      </c>
      <c r="B10">
        <v>46.239978999999892</v>
      </c>
      <c r="C10">
        <v>1.9816401503170377E-3</v>
      </c>
    </row>
    <row r="11" spans="1:3" x14ac:dyDescent="0.25">
      <c r="A11" s="3" t="s">
        <v>28</v>
      </c>
      <c r="B11">
        <v>86.640086000000053</v>
      </c>
      <c r="C11">
        <v>1.8534989637523413E-3</v>
      </c>
    </row>
    <row r="12" spans="1:3" x14ac:dyDescent="0.25">
      <c r="A12" s="3" t="s">
        <v>29</v>
      </c>
      <c r="B12">
        <v>-23.250075000000265</v>
      </c>
      <c r="C12">
        <v>-8.5125962453164931E-4</v>
      </c>
    </row>
    <row r="13" spans="1:3" x14ac:dyDescent="0.25">
      <c r="A13" s="3" t="s">
        <v>30</v>
      </c>
      <c r="B13">
        <v>-78.510160999999584</v>
      </c>
      <c r="C13">
        <v>-2.3801808898808452E-3</v>
      </c>
    </row>
    <row r="14" spans="1:3" x14ac:dyDescent="0.25">
      <c r="A14" s="3" t="s">
        <v>31</v>
      </c>
      <c r="B14">
        <v>-47.179999000000208</v>
      </c>
      <c r="C14">
        <v>-5.8773443860610892E-5</v>
      </c>
    </row>
    <row r="15" spans="1:3" x14ac:dyDescent="0.25">
      <c r="A15" s="3" t="s">
        <v>32</v>
      </c>
      <c r="B15">
        <v>-25.620242000000133</v>
      </c>
      <c r="C15">
        <v>-3.2099786990653364E-4</v>
      </c>
    </row>
  </sheetData>
  <conditionalFormatting sqref="A3:C3 A4:A15">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4BCCD-4ECC-4F6B-A037-DDFCE67D285F}">
  <dimension ref="A3:B15"/>
  <sheetViews>
    <sheetView workbookViewId="0">
      <selection activeCell="M26" sqref="M26"/>
    </sheetView>
  </sheetViews>
  <sheetFormatPr defaultRowHeight="15" x14ac:dyDescent="0.25"/>
  <cols>
    <col min="1" max="1" width="13.42578125" bestFit="1" customWidth="1"/>
    <col min="2" max="2" width="14.7109375" bestFit="1" customWidth="1"/>
  </cols>
  <sheetData>
    <row r="3" spans="1:2" x14ac:dyDescent="0.25">
      <c r="A3" s="2" t="s">
        <v>14</v>
      </c>
      <c r="B3" t="s">
        <v>35</v>
      </c>
    </row>
    <row r="4" spans="1:2" x14ac:dyDescent="0.25">
      <c r="A4" s="3" t="s">
        <v>21</v>
      </c>
      <c r="B4">
        <v>1096518600</v>
      </c>
    </row>
    <row r="5" spans="1:2" x14ac:dyDescent="0.25">
      <c r="A5" s="3" t="s">
        <v>22</v>
      </c>
      <c r="B5">
        <v>659746900</v>
      </c>
    </row>
    <row r="6" spans="1:2" x14ac:dyDescent="0.25">
      <c r="A6" s="3" t="s">
        <v>23</v>
      </c>
      <c r="B6">
        <v>819947400</v>
      </c>
    </row>
    <row r="7" spans="1:2" x14ac:dyDescent="0.25">
      <c r="A7" s="3" t="s">
        <v>24</v>
      </c>
      <c r="B7">
        <v>1167095700</v>
      </c>
    </row>
    <row r="8" spans="1:2" x14ac:dyDescent="0.25">
      <c r="A8" s="3" t="s">
        <v>25</v>
      </c>
      <c r="B8">
        <v>720948300</v>
      </c>
    </row>
    <row r="9" spans="1:2" x14ac:dyDescent="0.25">
      <c r="A9" s="3" t="s">
        <v>26</v>
      </c>
      <c r="B9">
        <v>743477000</v>
      </c>
    </row>
    <row r="10" spans="1:2" x14ac:dyDescent="0.25">
      <c r="A10" s="3" t="s">
        <v>27</v>
      </c>
      <c r="B10">
        <v>841922000</v>
      </c>
    </row>
    <row r="11" spans="1:2" x14ac:dyDescent="0.25">
      <c r="A11" s="3" t="s">
        <v>28</v>
      </c>
      <c r="B11">
        <v>521208600</v>
      </c>
    </row>
    <row r="12" spans="1:2" x14ac:dyDescent="0.25">
      <c r="A12" s="3" t="s">
        <v>29</v>
      </c>
      <c r="B12">
        <v>547357800</v>
      </c>
    </row>
    <row r="13" spans="1:2" x14ac:dyDescent="0.25">
      <c r="A13" s="3" t="s">
        <v>30</v>
      </c>
      <c r="B13">
        <v>848024900</v>
      </c>
    </row>
    <row r="14" spans="1:2" x14ac:dyDescent="0.25">
      <c r="A14" s="3" t="s">
        <v>31</v>
      </c>
      <c r="B14">
        <v>527091400</v>
      </c>
    </row>
    <row r="15" spans="1:2" x14ac:dyDescent="0.25">
      <c r="A15" s="3" t="s">
        <v>32</v>
      </c>
      <c r="B15">
        <v>496573000</v>
      </c>
    </row>
  </sheetData>
  <conditionalFormatting sqref="A3:B3 A16:B16 A4:A1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90DF2-7F12-42F3-9539-1E574F4D9634}">
  <dimension ref="A1:AK44"/>
  <sheetViews>
    <sheetView showGridLines="0" zoomScale="80" zoomScaleNormal="80" workbookViewId="0">
      <selection activeCell="U12" sqref="U12"/>
    </sheetView>
  </sheetViews>
  <sheetFormatPr defaultRowHeight="15" x14ac:dyDescent="0.25"/>
  <sheetData>
    <row r="1" spans="1:37" ht="46.5" x14ac:dyDescent="0.7">
      <c r="A1" s="12" t="s">
        <v>38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row>
    <row r="2" spans="1:37"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row>
    <row r="3" spans="1:37"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row>
    <row r="4" spans="1:37"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row>
    <row r="5" spans="1:37"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row>
    <row r="6" spans="1:37"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row>
    <row r="7" spans="1:37"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row>
    <row r="8" spans="1:37"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row>
    <row r="9" spans="1:37"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row>
    <row r="10" spans="1:37"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row>
    <row r="11" spans="1:37"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row>
    <row r="12" spans="1:37"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row>
    <row r="13" spans="1:37"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row>
    <row r="14" spans="1:37"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row>
    <row r="15" spans="1:37"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row>
    <row r="16" spans="1:37"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row>
    <row r="17" spans="1:37"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row>
    <row r="18" spans="1:37"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row>
    <row r="19" spans="1:37"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row>
    <row r="20" spans="1:37"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row>
    <row r="21" spans="1:37"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row>
    <row r="22" spans="1:37"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row>
    <row r="23" spans="1:37"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row>
    <row r="24" spans="1:37"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row>
    <row r="25" spans="1:37"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row>
    <row r="26" spans="1:37"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row>
    <row r="27" spans="1:37"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row>
    <row r="28" spans="1:37"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row>
    <row r="29" spans="1:37"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row>
    <row r="30" spans="1:37"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row>
    <row r="31" spans="1:37"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row>
    <row r="32" spans="1:37"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row>
    <row r="33" spans="1:37"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row>
    <row r="34" spans="1:37"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row>
    <row r="35" spans="1:37"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row>
    <row r="36" spans="1:37"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row>
    <row r="37" spans="1:37"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row>
    <row r="38" spans="1:37"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row>
    <row r="39" spans="1:37"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row>
    <row r="40" spans="1:37"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row>
    <row r="41" spans="1:37"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row>
    <row r="42" spans="1:37"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row>
    <row r="43" spans="1:37"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row>
    <row r="44" spans="1:37"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row>
  </sheetData>
  <mergeCells count="1">
    <mergeCell ref="A1:AK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7882-0AAC-447D-80FF-E3D82D2251C5}">
  <dimension ref="A2:E8"/>
  <sheetViews>
    <sheetView tabSelected="1" workbookViewId="0">
      <selection activeCell="H24" sqref="H24"/>
    </sheetView>
  </sheetViews>
  <sheetFormatPr defaultRowHeight="15" x14ac:dyDescent="0.25"/>
  <cols>
    <col min="1" max="1" width="16.28515625" bestFit="1" customWidth="1"/>
    <col min="2" max="2" width="12" bestFit="1" customWidth="1"/>
    <col min="3" max="3" width="11.140625" bestFit="1" customWidth="1"/>
    <col min="4" max="4" width="14.7109375" bestFit="1" customWidth="1"/>
    <col min="5" max="5" width="24.42578125" bestFit="1" customWidth="1"/>
  </cols>
  <sheetData>
    <row r="2" spans="1:5" x14ac:dyDescent="0.25">
      <c r="A2" s="11" t="s">
        <v>39</v>
      </c>
      <c r="B2" s="11"/>
      <c r="C2" s="11"/>
      <c r="D2" s="11"/>
      <c r="E2" s="11"/>
    </row>
    <row r="3" spans="1:5" x14ac:dyDescent="0.25">
      <c r="A3" s="10" t="s">
        <v>20</v>
      </c>
      <c r="B3" s="10" t="s">
        <v>36</v>
      </c>
      <c r="C3" s="10" t="s">
        <v>37</v>
      </c>
      <c r="D3" s="10" t="s">
        <v>35</v>
      </c>
      <c r="E3" s="10" t="s">
        <v>34</v>
      </c>
    </row>
    <row r="4" spans="1:5" x14ac:dyDescent="0.25">
      <c r="A4" s="6">
        <v>402.12801192436194</v>
      </c>
      <c r="B4" s="6">
        <v>700.98999000000003</v>
      </c>
      <c r="C4" s="6">
        <v>162.71000699999999</v>
      </c>
      <c r="D4" s="6">
        <v>8989911600</v>
      </c>
      <c r="E4" s="6">
        <v>1.9030789238721576E-4</v>
      </c>
    </row>
    <row r="5" spans="1:5" x14ac:dyDescent="0.25">
      <c r="A5" s="6"/>
      <c r="B5" s="6"/>
      <c r="C5" s="6"/>
      <c r="D5" s="6"/>
      <c r="E5" s="6"/>
    </row>
    <row r="6" spans="1:5" x14ac:dyDescent="0.25">
      <c r="A6" s="6"/>
      <c r="B6" s="6"/>
      <c r="C6" s="6"/>
      <c r="D6" s="6"/>
      <c r="E6" s="6"/>
    </row>
    <row r="7" spans="1:5" x14ac:dyDescent="0.25">
      <c r="A7" s="6" t="s">
        <v>20</v>
      </c>
      <c r="B7" s="6" t="s">
        <v>36</v>
      </c>
      <c r="C7" s="6" t="s">
        <v>37</v>
      </c>
      <c r="D7" s="6" t="s">
        <v>35</v>
      </c>
      <c r="E7" s="6" t="s">
        <v>34</v>
      </c>
    </row>
    <row r="8" spans="1:5" x14ac:dyDescent="0.25">
      <c r="A8" s="7">
        <f>GETPIVOTDATA("Average of Close",$A$3)</f>
        <v>402.12801192436194</v>
      </c>
      <c r="B8" s="7">
        <f>GETPIVOTDATA("Max. of High",$A$3)</f>
        <v>700.98999000000003</v>
      </c>
      <c r="C8" s="7">
        <f>GETPIVOTDATA("Min. of Low",$A$3)</f>
        <v>162.71000699999999</v>
      </c>
      <c r="D8" s="8">
        <f>GETPIVOTDATA("Sum of Volume",$A$3)</f>
        <v>8989911600</v>
      </c>
      <c r="E8" s="9">
        <f>GETPIVOTDATA("Average of Daily Return %",$A$3)</f>
        <v>1.9030789238721576E-4</v>
      </c>
    </row>
  </sheetData>
  <mergeCells count="1">
    <mergeCell ref="A2: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5F00-43B4-4601-ACE0-8F8A99B77F87}">
  <dimension ref="A1:N1138"/>
  <sheetViews>
    <sheetView topLeftCell="A2" workbookViewId="0">
      <selection activeCell="N18" sqref="A2:N1138"/>
    </sheetView>
  </sheetViews>
  <sheetFormatPr defaultRowHeight="15" x14ac:dyDescent="0.25"/>
  <cols>
    <col min="1" max="3" width="13.7109375" customWidth="1"/>
    <col min="8" max="9" width="11.7109375" customWidth="1"/>
    <col min="10" max="10" width="10" customWidth="1"/>
    <col min="11" max="11" width="10.140625" customWidth="1"/>
    <col min="14" max="14" width="12" customWidth="1"/>
  </cols>
  <sheetData>
    <row r="1" spans="1:14" x14ac:dyDescent="0.25">
      <c r="A1" t="s">
        <v>0</v>
      </c>
      <c r="B1" t="s">
        <v>10</v>
      </c>
      <c r="C1" t="s">
        <v>11</v>
      </c>
      <c r="D1" t="s">
        <v>1</v>
      </c>
      <c r="E1" t="s">
        <v>2</v>
      </c>
      <c r="F1" t="s">
        <v>3</v>
      </c>
      <c r="G1" t="s">
        <v>4</v>
      </c>
      <c r="H1" t="s">
        <v>5</v>
      </c>
      <c r="I1" t="s">
        <v>12</v>
      </c>
      <c r="J1" t="s">
        <v>6</v>
      </c>
      <c r="K1" t="s">
        <v>7</v>
      </c>
      <c r="L1" t="s">
        <v>8</v>
      </c>
      <c r="M1" t="s">
        <v>13</v>
      </c>
      <c r="N1" t="s">
        <v>9</v>
      </c>
    </row>
    <row r="2" spans="1:14" x14ac:dyDescent="0.25">
      <c r="A2" s="1">
        <v>43102</v>
      </c>
      <c r="B2" s="1">
        <f t="shared" ref="B2:B65" si="0">YEAR(A2)</f>
        <v>2018</v>
      </c>
      <c r="C2" s="1" t="str">
        <f t="shared" ref="C2:C65" si="1">TEXT(A2,"mmm")</f>
        <v>Jan</v>
      </c>
      <c r="D2">
        <v>196.10000600000001</v>
      </c>
      <c r="E2">
        <v>201.64999399999999</v>
      </c>
      <c r="F2">
        <v>195.41999799999999</v>
      </c>
      <c r="G2">
        <v>201.070007</v>
      </c>
      <c r="H2">
        <v>201.070007</v>
      </c>
      <c r="I2">
        <f t="shared" ref="I2:I65" si="2">G2-D2</f>
        <v>4.9700009999999963</v>
      </c>
      <c r="J2">
        <v>10966900</v>
      </c>
      <c r="K2">
        <v>2.0833333333333301E-2</v>
      </c>
      <c r="L2">
        <v>10</v>
      </c>
      <c r="M2">
        <f t="shared" ref="M2:M65" si="3">(G2-D2)/D2</f>
        <v>2.5344216460656283E-2</v>
      </c>
      <c r="N2">
        <v>480</v>
      </c>
    </row>
    <row r="3" spans="1:14" x14ac:dyDescent="0.25">
      <c r="A3" s="1">
        <v>43103</v>
      </c>
      <c r="B3" s="1">
        <f t="shared" si="0"/>
        <v>2018</v>
      </c>
      <c r="C3" s="1" t="str">
        <f t="shared" si="1"/>
        <v>Jan</v>
      </c>
      <c r="D3">
        <v>202.050003</v>
      </c>
      <c r="E3">
        <v>206.21000699999999</v>
      </c>
      <c r="F3">
        <v>201.5</v>
      </c>
      <c r="G3">
        <v>205.050003</v>
      </c>
      <c r="H3">
        <v>205.050003</v>
      </c>
      <c r="I3">
        <f t="shared" si="2"/>
        <v>3</v>
      </c>
      <c r="J3">
        <v>8591400</v>
      </c>
      <c r="K3">
        <v>7.1216617210682495E-2</v>
      </c>
      <c r="L3">
        <v>24</v>
      </c>
      <c r="M3">
        <f t="shared" si="3"/>
        <v>1.4847809727575208E-2</v>
      </c>
      <c r="N3">
        <v>337</v>
      </c>
    </row>
    <row r="4" spans="1:14" x14ac:dyDescent="0.25">
      <c r="A4" s="1">
        <v>43104</v>
      </c>
      <c r="B4" s="1">
        <f t="shared" si="0"/>
        <v>2018</v>
      </c>
      <c r="C4" s="1" t="str">
        <f t="shared" si="1"/>
        <v>Jan</v>
      </c>
      <c r="D4">
        <v>206.199997</v>
      </c>
      <c r="E4">
        <v>207.050003</v>
      </c>
      <c r="F4">
        <v>204</v>
      </c>
      <c r="G4">
        <v>205.63000500000001</v>
      </c>
      <c r="H4">
        <v>205.63000500000001</v>
      </c>
      <c r="I4">
        <f t="shared" si="2"/>
        <v>-0.56999199999998496</v>
      </c>
      <c r="J4">
        <v>6029600</v>
      </c>
      <c r="K4">
        <v>-1.85185185185185E-2</v>
      </c>
      <c r="L4">
        <v>-4</v>
      </c>
      <c r="M4">
        <f t="shared" si="3"/>
        <v>-2.7642677414781193E-3</v>
      </c>
      <c r="N4">
        <v>216</v>
      </c>
    </row>
    <row r="5" spans="1:14" x14ac:dyDescent="0.25">
      <c r="A5" s="1">
        <v>43105</v>
      </c>
      <c r="B5" s="1">
        <f t="shared" si="0"/>
        <v>2018</v>
      </c>
      <c r="C5" s="1" t="str">
        <f t="shared" si="1"/>
        <v>Jan</v>
      </c>
      <c r="D5">
        <v>207.25</v>
      </c>
      <c r="E5">
        <v>210.020004</v>
      </c>
      <c r="F5">
        <v>205.58999600000001</v>
      </c>
      <c r="G5">
        <v>209.990005</v>
      </c>
      <c r="H5">
        <v>209.990005</v>
      </c>
      <c r="I5">
        <f t="shared" si="2"/>
        <v>2.7400049999999965</v>
      </c>
      <c r="J5">
        <v>7033200</v>
      </c>
      <c r="K5">
        <v>-1.9736842105263101E-2</v>
      </c>
      <c r="L5">
        <v>-6</v>
      </c>
      <c r="M5">
        <f t="shared" si="3"/>
        <v>1.3220772014475255E-2</v>
      </c>
      <c r="N5">
        <v>304</v>
      </c>
    </row>
    <row r="6" spans="1:14" x14ac:dyDescent="0.25">
      <c r="A6" s="1">
        <v>43108</v>
      </c>
      <c r="B6" s="1">
        <f t="shared" si="0"/>
        <v>2018</v>
      </c>
      <c r="C6" s="1" t="str">
        <f t="shared" si="1"/>
        <v>Jan</v>
      </c>
      <c r="D6">
        <v>210.020004</v>
      </c>
      <c r="E6">
        <v>212.5</v>
      </c>
      <c r="F6">
        <v>208.44000199999999</v>
      </c>
      <c r="G6">
        <v>212.050003</v>
      </c>
      <c r="H6">
        <v>212.050003</v>
      </c>
      <c r="I6">
        <f t="shared" si="2"/>
        <v>2.0299990000000037</v>
      </c>
      <c r="J6">
        <v>5580200</v>
      </c>
      <c r="K6">
        <v>-7.6628352490421001E-3</v>
      </c>
      <c r="L6">
        <v>-2</v>
      </c>
      <c r="M6">
        <f t="shared" si="3"/>
        <v>9.6657411738741029E-3</v>
      </c>
      <c r="N6">
        <v>261</v>
      </c>
    </row>
    <row r="7" spans="1:14" x14ac:dyDescent="0.25">
      <c r="A7" s="1">
        <v>43109</v>
      </c>
      <c r="B7" s="1">
        <f t="shared" si="0"/>
        <v>2018</v>
      </c>
      <c r="C7" s="1" t="str">
        <f t="shared" si="1"/>
        <v>Jan</v>
      </c>
      <c r="D7">
        <v>212.11000100000001</v>
      </c>
      <c r="E7">
        <v>212.979996</v>
      </c>
      <c r="F7">
        <v>208.58999600000001</v>
      </c>
      <c r="G7">
        <v>209.30999800000001</v>
      </c>
      <c r="H7">
        <v>209.30999800000001</v>
      </c>
      <c r="I7">
        <f t="shared" si="2"/>
        <v>-2.8000030000000038</v>
      </c>
      <c r="J7">
        <v>6125900</v>
      </c>
      <c r="K7">
        <v>-2.5210084033613401E-2</v>
      </c>
      <c r="L7">
        <v>-6</v>
      </c>
      <c r="M7">
        <f t="shared" si="3"/>
        <v>-1.3200711832536381E-2</v>
      </c>
      <c r="N7">
        <v>238</v>
      </c>
    </row>
    <row r="8" spans="1:14" x14ac:dyDescent="0.25">
      <c r="A8" s="1">
        <v>43110</v>
      </c>
      <c r="B8" s="1">
        <f t="shared" si="0"/>
        <v>2018</v>
      </c>
      <c r="C8" s="1" t="str">
        <f t="shared" si="1"/>
        <v>Jan</v>
      </c>
      <c r="D8">
        <v>207.570007</v>
      </c>
      <c r="E8">
        <v>213.63999899999999</v>
      </c>
      <c r="F8">
        <v>206.91000399999999</v>
      </c>
      <c r="G8">
        <v>212.520004</v>
      </c>
      <c r="H8">
        <v>212.520004</v>
      </c>
      <c r="I8">
        <f t="shared" si="2"/>
        <v>4.9499969999999962</v>
      </c>
      <c r="J8">
        <v>5951500</v>
      </c>
      <c r="K8">
        <v>-2.6119402985074602E-2</v>
      </c>
      <c r="L8">
        <v>-7</v>
      </c>
      <c r="M8">
        <f t="shared" si="3"/>
        <v>2.3847361531379608E-2</v>
      </c>
      <c r="N8">
        <v>268</v>
      </c>
    </row>
    <row r="9" spans="1:14" x14ac:dyDescent="0.25">
      <c r="A9" s="1">
        <v>43111</v>
      </c>
      <c r="B9" s="1">
        <f t="shared" si="0"/>
        <v>2018</v>
      </c>
      <c r="C9" s="1" t="str">
        <f t="shared" si="1"/>
        <v>Jan</v>
      </c>
      <c r="D9">
        <v>214.28999300000001</v>
      </c>
      <c r="E9">
        <v>217.75</v>
      </c>
      <c r="F9">
        <v>213.35000600000001</v>
      </c>
      <c r="G9">
        <v>217.240005</v>
      </c>
      <c r="H9">
        <v>217.240005</v>
      </c>
      <c r="I9">
        <f t="shared" si="2"/>
        <v>2.9500119999999868</v>
      </c>
      <c r="J9">
        <v>7659500</v>
      </c>
      <c r="K9">
        <v>0</v>
      </c>
      <c r="L9">
        <v>0</v>
      </c>
      <c r="M9">
        <f t="shared" si="3"/>
        <v>1.3766447787414817E-2</v>
      </c>
      <c r="N9">
        <v>370</v>
      </c>
    </row>
    <row r="10" spans="1:14" x14ac:dyDescent="0.25">
      <c r="A10" s="1">
        <v>43112</v>
      </c>
      <c r="B10" s="1">
        <f t="shared" si="0"/>
        <v>2018</v>
      </c>
      <c r="C10" s="1" t="str">
        <f t="shared" si="1"/>
        <v>Jan</v>
      </c>
      <c r="D10">
        <v>217.179993</v>
      </c>
      <c r="E10">
        <v>222.550003</v>
      </c>
      <c r="F10">
        <v>216</v>
      </c>
      <c r="G10">
        <v>221.229996</v>
      </c>
      <c r="H10">
        <v>221.229996</v>
      </c>
      <c r="I10">
        <f t="shared" si="2"/>
        <v>4.0500030000000038</v>
      </c>
      <c r="J10">
        <v>8199400</v>
      </c>
      <c r="K10">
        <v>-3.1250000000000002E-3</v>
      </c>
      <c r="L10">
        <v>-1</v>
      </c>
      <c r="M10">
        <f t="shared" si="3"/>
        <v>1.8648140392932069E-2</v>
      </c>
      <c r="N10">
        <v>320</v>
      </c>
    </row>
    <row r="11" spans="1:14" x14ac:dyDescent="0.25">
      <c r="A11" s="1">
        <v>43116</v>
      </c>
      <c r="B11" s="1">
        <f t="shared" si="0"/>
        <v>2018</v>
      </c>
      <c r="C11" s="1" t="str">
        <f t="shared" si="1"/>
        <v>Jan</v>
      </c>
      <c r="D11">
        <v>224.240005</v>
      </c>
      <c r="E11">
        <v>226.070007</v>
      </c>
      <c r="F11">
        <v>217.199997</v>
      </c>
      <c r="G11">
        <v>221.529999</v>
      </c>
      <c r="H11">
        <v>221.529999</v>
      </c>
      <c r="I11">
        <f t="shared" si="2"/>
        <v>-2.7100059999999928</v>
      </c>
      <c r="J11">
        <v>13516100</v>
      </c>
      <c r="K11">
        <v>9.6774193548386997E-3</v>
      </c>
      <c r="L11">
        <v>3</v>
      </c>
      <c r="M11">
        <f t="shared" si="3"/>
        <v>-1.2085292274230875E-2</v>
      </c>
      <c r="N11">
        <v>310</v>
      </c>
    </row>
    <row r="12" spans="1:14" x14ac:dyDescent="0.25">
      <c r="A12" s="1">
        <v>43117</v>
      </c>
      <c r="B12" s="1">
        <f t="shared" si="0"/>
        <v>2018</v>
      </c>
      <c r="C12" s="1" t="str">
        <f t="shared" si="1"/>
        <v>Jan</v>
      </c>
      <c r="D12">
        <v>221</v>
      </c>
      <c r="E12">
        <v>221.14999399999999</v>
      </c>
      <c r="F12">
        <v>216.320007</v>
      </c>
      <c r="G12">
        <v>217.5</v>
      </c>
      <c r="H12">
        <v>217.5</v>
      </c>
      <c r="I12">
        <f t="shared" si="2"/>
        <v>-3.5</v>
      </c>
      <c r="J12">
        <v>9123100</v>
      </c>
      <c r="K12">
        <v>3.2573289902280002E-3</v>
      </c>
      <c r="L12">
        <v>1</v>
      </c>
      <c r="M12">
        <f t="shared" si="3"/>
        <v>-1.5837104072398189E-2</v>
      </c>
      <c r="N12">
        <v>307</v>
      </c>
    </row>
    <row r="13" spans="1:14" x14ac:dyDescent="0.25">
      <c r="A13" s="1">
        <v>43118</v>
      </c>
      <c r="B13" s="1">
        <f t="shared" si="0"/>
        <v>2018</v>
      </c>
      <c r="C13" s="1" t="str">
        <f t="shared" si="1"/>
        <v>Jan</v>
      </c>
      <c r="D13">
        <v>220.33999600000001</v>
      </c>
      <c r="E13">
        <v>220.58000200000001</v>
      </c>
      <c r="F13">
        <v>216.550003</v>
      </c>
      <c r="G13">
        <v>220.33000200000001</v>
      </c>
      <c r="H13">
        <v>220.33000200000001</v>
      </c>
      <c r="I13">
        <f t="shared" si="2"/>
        <v>-9.9940000000060536E-3</v>
      </c>
      <c r="J13">
        <v>8225300</v>
      </c>
      <c r="K13">
        <v>-4.0404040404040401E-2</v>
      </c>
      <c r="L13">
        <v>-12</v>
      </c>
      <c r="M13">
        <f t="shared" si="3"/>
        <v>-4.5357176098006524E-5</v>
      </c>
      <c r="N13">
        <v>297</v>
      </c>
    </row>
    <row r="14" spans="1:14" x14ac:dyDescent="0.25">
      <c r="A14" s="1">
        <v>43119</v>
      </c>
      <c r="B14" s="1">
        <f t="shared" si="0"/>
        <v>2018</v>
      </c>
      <c r="C14" s="1" t="str">
        <f t="shared" si="1"/>
        <v>Jan</v>
      </c>
      <c r="D14">
        <v>222.75</v>
      </c>
      <c r="E14">
        <v>223.490005</v>
      </c>
      <c r="F14">
        <v>218.5</v>
      </c>
      <c r="G14">
        <v>220.46000699999999</v>
      </c>
      <c r="H14">
        <v>220.46000699999999</v>
      </c>
      <c r="I14">
        <f t="shared" si="2"/>
        <v>-2.2899930000000097</v>
      </c>
      <c r="J14">
        <v>10548600</v>
      </c>
      <c r="K14">
        <v>-7.0121951219512202E-2</v>
      </c>
      <c r="L14">
        <v>-23</v>
      </c>
      <c r="M14">
        <f t="shared" si="3"/>
        <v>-1.0280552188552233E-2</v>
      </c>
      <c r="N14">
        <v>328</v>
      </c>
    </row>
    <row r="15" spans="1:14" x14ac:dyDescent="0.25">
      <c r="A15" s="1">
        <v>43122</v>
      </c>
      <c r="B15" s="1">
        <f t="shared" si="0"/>
        <v>2018</v>
      </c>
      <c r="C15" s="1" t="str">
        <f t="shared" si="1"/>
        <v>Jan</v>
      </c>
      <c r="D15">
        <v>222</v>
      </c>
      <c r="E15">
        <v>227.78999300000001</v>
      </c>
      <c r="F15">
        <v>221.199997</v>
      </c>
      <c r="G15">
        <v>227.58000200000001</v>
      </c>
      <c r="H15">
        <v>227.58000200000001</v>
      </c>
      <c r="I15">
        <f t="shared" si="2"/>
        <v>5.5800020000000075</v>
      </c>
      <c r="J15">
        <v>17703300</v>
      </c>
      <c r="K15">
        <v>-4.2660882140274699E-2</v>
      </c>
      <c r="L15">
        <v>-59</v>
      </c>
      <c r="M15">
        <f t="shared" si="3"/>
        <v>2.5135144144144177E-2</v>
      </c>
      <c r="N15">
        <v>1383</v>
      </c>
    </row>
    <row r="16" spans="1:14" x14ac:dyDescent="0.25">
      <c r="A16" s="1">
        <v>43123</v>
      </c>
      <c r="B16" s="1">
        <f t="shared" si="0"/>
        <v>2018</v>
      </c>
      <c r="C16" s="1" t="str">
        <f t="shared" si="1"/>
        <v>Jan</v>
      </c>
      <c r="D16">
        <v>255.050003</v>
      </c>
      <c r="E16">
        <v>257.709991</v>
      </c>
      <c r="F16">
        <v>248.020004</v>
      </c>
      <c r="G16">
        <v>250.28999300000001</v>
      </c>
      <c r="H16">
        <v>250.28999300000001</v>
      </c>
      <c r="I16">
        <f t="shared" si="2"/>
        <v>-4.7600099999999941</v>
      </c>
      <c r="J16">
        <v>27705300</v>
      </c>
      <c r="K16">
        <v>-6.1196105702364299E-2</v>
      </c>
      <c r="L16">
        <v>-88</v>
      </c>
      <c r="M16">
        <f t="shared" si="3"/>
        <v>-1.8663046241955913E-2</v>
      </c>
      <c r="N16">
        <v>1438</v>
      </c>
    </row>
    <row r="17" spans="1:14" x14ac:dyDescent="0.25">
      <c r="A17" s="1">
        <v>43124</v>
      </c>
      <c r="B17" s="1">
        <f t="shared" si="0"/>
        <v>2018</v>
      </c>
      <c r="C17" s="1" t="str">
        <f t="shared" si="1"/>
        <v>Jan</v>
      </c>
      <c r="D17">
        <v>250.88000500000001</v>
      </c>
      <c r="E17">
        <v>261.709991</v>
      </c>
      <c r="F17">
        <v>249.30999800000001</v>
      </c>
      <c r="G17">
        <v>261.29998799999998</v>
      </c>
      <c r="H17">
        <v>261.29998799999998</v>
      </c>
      <c r="I17">
        <f t="shared" si="2"/>
        <v>10.419982999999974</v>
      </c>
      <c r="J17">
        <v>17352400</v>
      </c>
      <c r="K17">
        <v>-8.4525357607282095E-2</v>
      </c>
      <c r="L17">
        <v>-65</v>
      </c>
      <c r="M17">
        <f t="shared" si="3"/>
        <v>4.1533732431167536E-2</v>
      </c>
      <c r="N17">
        <v>769</v>
      </c>
    </row>
    <row r="18" spans="1:14" x14ac:dyDescent="0.25">
      <c r="A18" s="1">
        <v>43125</v>
      </c>
      <c r="B18" s="1">
        <f t="shared" si="0"/>
        <v>2018</v>
      </c>
      <c r="C18" s="1" t="str">
        <f t="shared" si="1"/>
        <v>Jan</v>
      </c>
      <c r="D18">
        <v>263</v>
      </c>
      <c r="E18">
        <v>272.29998799999998</v>
      </c>
      <c r="F18">
        <v>260.23001099999999</v>
      </c>
      <c r="G18">
        <v>269.70001200000002</v>
      </c>
      <c r="H18">
        <v>269.70001200000002</v>
      </c>
      <c r="I18">
        <f t="shared" si="2"/>
        <v>6.7000120000000152</v>
      </c>
      <c r="J18">
        <v>15336400</v>
      </c>
      <c r="K18">
        <v>-0.122743682310469</v>
      </c>
      <c r="L18">
        <v>-102</v>
      </c>
      <c r="M18">
        <f t="shared" si="3"/>
        <v>2.5475330798479145E-2</v>
      </c>
      <c r="N18">
        <v>831</v>
      </c>
    </row>
    <row r="19" spans="1:14" x14ac:dyDescent="0.25">
      <c r="A19" s="1">
        <v>43126</v>
      </c>
      <c r="B19" s="1">
        <f t="shared" si="0"/>
        <v>2018</v>
      </c>
      <c r="C19" s="1" t="str">
        <f t="shared" si="1"/>
        <v>Jan</v>
      </c>
      <c r="D19">
        <v>271.48998999999998</v>
      </c>
      <c r="E19">
        <v>274.60000600000001</v>
      </c>
      <c r="F19">
        <v>268.76001000000002</v>
      </c>
      <c r="G19">
        <v>274.60000600000001</v>
      </c>
      <c r="H19">
        <v>274.60000600000001</v>
      </c>
      <c r="I19">
        <f t="shared" si="2"/>
        <v>3.1100160000000301</v>
      </c>
      <c r="J19">
        <v>11021800</v>
      </c>
      <c r="K19">
        <v>-0.118012422360248</v>
      </c>
      <c r="L19">
        <v>-57</v>
      </c>
      <c r="M19">
        <f t="shared" si="3"/>
        <v>1.1455361577051258E-2</v>
      </c>
      <c r="N19">
        <v>483</v>
      </c>
    </row>
    <row r="20" spans="1:14" x14ac:dyDescent="0.25">
      <c r="A20" s="1">
        <v>43129</v>
      </c>
      <c r="B20" s="1">
        <f t="shared" si="0"/>
        <v>2018</v>
      </c>
      <c r="C20" s="1" t="str">
        <f t="shared" si="1"/>
        <v>Jan</v>
      </c>
      <c r="D20">
        <v>274.20001200000002</v>
      </c>
      <c r="E20">
        <v>286.80999800000001</v>
      </c>
      <c r="F20">
        <v>273.92001299999998</v>
      </c>
      <c r="G20">
        <v>284.58999599999999</v>
      </c>
      <c r="H20">
        <v>284.58999599999999</v>
      </c>
      <c r="I20">
        <f t="shared" si="2"/>
        <v>10.38998399999997</v>
      </c>
      <c r="J20">
        <v>17529700</v>
      </c>
      <c r="K20">
        <v>-0.100689655172413</v>
      </c>
      <c r="L20">
        <v>-73</v>
      </c>
      <c r="M20">
        <f t="shared" si="3"/>
        <v>3.78919895889719E-2</v>
      </c>
      <c r="N20">
        <v>725</v>
      </c>
    </row>
    <row r="21" spans="1:14" x14ac:dyDescent="0.25">
      <c r="A21" s="1">
        <v>43130</v>
      </c>
      <c r="B21" s="1">
        <f t="shared" si="0"/>
        <v>2018</v>
      </c>
      <c r="C21" s="1" t="str">
        <f t="shared" si="1"/>
        <v>Jan</v>
      </c>
      <c r="D21">
        <v>277</v>
      </c>
      <c r="E21">
        <v>282.73001099999999</v>
      </c>
      <c r="F21">
        <v>272.70001200000002</v>
      </c>
      <c r="G21">
        <v>278.79998799999998</v>
      </c>
      <c r="H21">
        <v>278.79998799999998</v>
      </c>
      <c r="I21">
        <f t="shared" si="2"/>
        <v>1.7999879999999848</v>
      </c>
      <c r="J21">
        <v>12482900</v>
      </c>
      <c r="K21">
        <v>-0.14126984126984099</v>
      </c>
      <c r="L21">
        <v>-89</v>
      </c>
      <c r="M21">
        <f t="shared" si="3"/>
        <v>6.4981516245486816E-3</v>
      </c>
      <c r="N21">
        <v>630</v>
      </c>
    </row>
    <row r="22" spans="1:14" x14ac:dyDescent="0.25">
      <c r="A22" s="1">
        <v>43131</v>
      </c>
      <c r="B22" s="1">
        <f t="shared" si="0"/>
        <v>2018</v>
      </c>
      <c r="C22" s="1" t="str">
        <f t="shared" si="1"/>
        <v>Jan</v>
      </c>
      <c r="D22">
        <v>281.94000199999999</v>
      </c>
      <c r="E22">
        <v>282.290009</v>
      </c>
      <c r="F22">
        <v>269.57998700000002</v>
      </c>
      <c r="G22">
        <v>270.29998799999998</v>
      </c>
      <c r="H22">
        <v>270.29998799999998</v>
      </c>
      <c r="I22">
        <f t="shared" si="2"/>
        <v>-11.640014000000008</v>
      </c>
      <c r="J22">
        <v>11695100</v>
      </c>
      <c r="K22">
        <v>-0.167449139280125</v>
      </c>
      <c r="L22">
        <v>-107</v>
      </c>
      <c r="M22">
        <f t="shared" si="3"/>
        <v>-4.1285429231145455E-2</v>
      </c>
      <c r="N22">
        <v>639</v>
      </c>
    </row>
    <row r="23" spans="1:14" x14ac:dyDescent="0.25">
      <c r="A23" s="1">
        <v>43132</v>
      </c>
      <c r="B23" s="1">
        <f t="shared" si="0"/>
        <v>2018</v>
      </c>
      <c r="C23" s="1" t="str">
        <f t="shared" si="1"/>
        <v>Feb</v>
      </c>
      <c r="D23">
        <v>266.41000400000001</v>
      </c>
      <c r="E23">
        <v>271.95001200000002</v>
      </c>
      <c r="F23">
        <v>263.38000499999998</v>
      </c>
      <c r="G23">
        <v>265.07000699999998</v>
      </c>
      <c r="H23">
        <v>265.07000699999998</v>
      </c>
      <c r="I23">
        <f t="shared" si="2"/>
        <v>-1.3399970000000394</v>
      </c>
      <c r="J23">
        <v>9669000</v>
      </c>
      <c r="K23">
        <v>-0.15625</v>
      </c>
      <c r="L23">
        <v>-55</v>
      </c>
      <c r="M23">
        <f t="shared" si="3"/>
        <v>-5.0298298858177989E-3</v>
      </c>
      <c r="N23">
        <v>352</v>
      </c>
    </row>
    <row r="24" spans="1:14" x14ac:dyDescent="0.25">
      <c r="A24" s="1">
        <v>43133</v>
      </c>
      <c r="B24" s="1">
        <f t="shared" si="0"/>
        <v>2018</v>
      </c>
      <c r="C24" s="1" t="str">
        <f t="shared" si="1"/>
        <v>Feb</v>
      </c>
      <c r="D24">
        <v>263</v>
      </c>
      <c r="E24">
        <v>270.61999500000002</v>
      </c>
      <c r="F24">
        <v>262.709991</v>
      </c>
      <c r="G24">
        <v>267.42999300000002</v>
      </c>
      <c r="H24">
        <v>267.42999300000002</v>
      </c>
      <c r="I24">
        <f t="shared" si="2"/>
        <v>4.4299930000000245</v>
      </c>
      <c r="J24">
        <v>9123600</v>
      </c>
      <c r="K24">
        <v>-4.0462427745664699E-2</v>
      </c>
      <c r="L24">
        <v>-14</v>
      </c>
      <c r="M24">
        <f t="shared" si="3"/>
        <v>1.6844079847908838E-2</v>
      </c>
      <c r="N24">
        <v>346</v>
      </c>
    </row>
    <row r="25" spans="1:14" x14ac:dyDescent="0.25">
      <c r="A25" s="1">
        <v>43136</v>
      </c>
      <c r="B25" s="1">
        <f t="shared" si="0"/>
        <v>2018</v>
      </c>
      <c r="C25" s="1" t="str">
        <f t="shared" si="1"/>
        <v>Feb</v>
      </c>
      <c r="D25">
        <v>262</v>
      </c>
      <c r="E25">
        <v>267.89999399999999</v>
      </c>
      <c r="F25">
        <v>250.029999</v>
      </c>
      <c r="G25">
        <v>254.259995</v>
      </c>
      <c r="H25">
        <v>254.259995</v>
      </c>
      <c r="I25">
        <f t="shared" si="2"/>
        <v>-7.7400049999999965</v>
      </c>
      <c r="J25">
        <v>11896100</v>
      </c>
      <c r="K25">
        <v>-3.3112582781456901E-2</v>
      </c>
      <c r="L25">
        <v>-10</v>
      </c>
      <c r="M25">
        <f t="shared" si="3"/>
        <v>-2.954200381679388E-2</v>
      </c>
      <c r="N25">
        <v>302</v>
      </c>
    </row>
    <row r="26" spans="1:14" x14ac:dyDescent="0.25">
      <c r="A26" s="1">
        <v>43137</v>
      </c>
      <c r="B26" s="1">
        <f t="shared" si="0"/>
        <v>2018</v>
      </c>
      <c r="C26" s="1" t="str">
        <f t="shared" si="1"/>
        <v>Feb</v>
      </c>
      <c r="D26">
        <v>247.699997</v>
      </c>
      <c r="E26">
        <v>266.70001200000002</v>
      </c>
      <c r="F26">
        <v>245</v>
      </c>
      <c r="G26">
        <v>265.72000100000002</v>
      </c>
      <c r="H26">
        <v>265.72000100000002</v>
      </c>
      <c r="I26">
        <f t="shared" si="2"/>
        <v>18.020004000000029</v>
      </c>
      <c r="J26">
        <v>12595800</v>
      </c>
      <c r="K26">
        <v>-3.7151702786377701E-2</v>
      </c>
      <c r="L26">
        <v>-12</v>
      </c>
      <c r="M26">
        <f t="shared" si="3"/>
        <v>7.274931052986662E-2</v>
      </c>
      <c r="N26">
        <v>323</v>
      </c>
    </row>
    <row r="27" spans="1:14" x14ac:dyDescent="0.25">
      <c r="A27" s="1">
        <v>43138</v>
      </c>
      <c r="B27" s="1">
        <f t="shared" si="0"/>
        <v>2018</v>
      </c>
      <c r="C27" s="1" t="str">
        <f t="shared" si="1"/>
        <v>Feb</v>
      </c>
      <c r="D27">
        <v>266.57998700000002</v>
      </c>
      <c r="E27">
        <v>272.45001200000002</v>
      </c>
      <c r="F27">
        <v>264.32998700000002</v>
      </c>
      <c r="G27">
        <v>264.55999800000001</v>
      </c>
      <c r="H27">
        <v>264.55999800000001</v>
      </c>
      <c r="I27">
        <f t="shared" si="2"/>
        <v>-2.0199890000000096</v>
      </c>
      <c r="J27">
        <v>8981500</v>
      </c>
      <c r="K27">
        <v>-8.7412587412587395E-2</v>
      </c>
      <c r="L27">
        <v>-25</v>
      </c>
      <c r="M27">
        <f t="shared" si="3"/>
        <v>-7.5774217814783273E-3</v>
      </c>
      <c r="N27">
        <v>286</v>
      </c>
    </row>
    <row r="28" spans="1:14" x14ac:dyDescent="0.25">
      <c r="A28" s="1">
        <v>43139</v>
      </c>
      <c r="B28" s="1">
        <f t="shared" si="0"/>
        <v>2018</v>
      </c>
      <c r="C28" s="1" t="str">
        <f t="shared" si="1"/>
        <v>Feb</v>
      </c>
      <c r="D28">
        <v>267.07998700000002</v>
      </c>
      <c r="E28">
        <v>267.61999500000002</v>
      </c>
      <c r="F28">
        <v>250</v>
      </c>
      <c r="G28">
        <v>250.10000600000001</v>
      </c>
      <c r="H28">
        <v>250.10000600000001</v>
      </c>
      <c r="I28">
        <f t="shared" si="2"/>
        <v>-16.979981000000009</v>
      </c>
      <c r="J28">
        <v>9306700</v>
      </c>
      <c r="K28">
        <v>-0.10606060606060599</v>
      </c>
      <c r="L28">
        <v>-28</v>
      </c>
      <c r="M28">
        <f t="shared" si="3"/>
        <v>-6.3576388447255716E-2</v>
      </c>
      <c r="N28">
        <v>264</v>
      </c>
    </row>
    <row r="29" spans="1:14" x14ac:dyDescent="0.25">
      <c r="A29" s="1">
        <v>43140</v>
      </c>
      <c r="B29" s="1">
        <f t="shared" si="0"/>
        <v>2018</v>
      </c>
      <c r="C29" s="1" t="str">
        <f t="shared" si="1"/>
        <v>Feb</v>
      </c>
      <c r="D29">
        <v>253.85000600000001</v>
      </c>
      <c r="E29">
        <v>255.800003</v>
      </c>
      <c r="F29">
        <v>236.11000100000001</v>
      </c>
      <c r="G29">
        <v>249.470001</v>
      </c>
      <c r="H29">
        <v>249.470001</v>
      </c>
      <c r="I29">
        <f t="shared" si="2"/>
        <v>-4.3800050000000113</v>
      </c>
      <c r="J29">
        <v>16906900</v>
      </c>
      <c r="K29">
        <v>-1.8749999999999999E-2</v>
      </c>
      <c r="L29">
        <v>-6</v>
      </c>
      <c r="M29">
        <f t="shared" si="3"/>
        <v>-1.7254303314848105E-2</v>
      </c>
      <c r="N29">
        <v>320</v>
      </c>
    </row>
    <row r="30" spans="1:14" x14ac:dyDescent="0.25">
      <c r="A30" s="1">
        <v>43143</v>
      </c>
      <c r="B30" s="1">
        <f t="shared" si="0"/>
        <v>2018</v>
      </c>
      <c r="C30" s="1" t="str">
        <f t="shared" si="1"/>
        <v>Feb</v>
      </c>
      <c r="D30">
        <v>252.13999899999999</v>
      </c>
      <c r="E30">
        <v>259.14999399999999</v>
      </c>
      <c r="F30">
        <v>249</v>
      </c>
      <c r="G30">
        <v>257.95001200000002</v>
      </c>
      <c r="H30">
        <v>257.95001200000002</v>
      </c>
      <c r="I30">
        <f t="shared" si="2"/>
        <v>5.8100130000000263</v>
      </c>
      <c r="J30">
        <v>8534900</v>
      </c>
      <c r="K30">
        <v>1.34680134680134E-2</v>
      </c>
      <c r="L30">
        <v>4</v>
      </c>
      <c r="M30">
        <f t="shared" si="3"/>
        <v>2.3042805675588293E-2</v>
      </c>
      <c r="N30">
        <v>297</v>
      </c>
    </row>
    <row r="31" spans="1:14" x14ac:dyDescent="0.25">
      <c r="A31" s="1">
        <v>43144</v>
      </c>
      <c r="B31" s="1">
        <f t="shared" si="0"/>
        <v>2018</v>
      </c>
      <c r="C31" s="1" t="str">
        <f t="shared" si="1"/>
        <v>Feb</v>
      </c>
      <c r="D31">
        <v>257.290009</v>
      </c>
      <c r="E31">
        <v>261.41000400000001</v>
      </c>
      <c r="F31">
        <v>254.699997</v>
      </c>
      <c r="G31">
        <v>258.26998900000001</v>
      </c>
      <c r="H31">
        <v>258.26998900000001</v>
      </c>
      <c r="I31">
        <f t="shared" si="2"/>
        <v>0.97998000000001184</v>
      </c>
      <c r="J31">
        <v>6855200</v>
      </c>
      <c r="K31">
        <v>-2.74914089347079E-2</v>
      </c>
      <c r="L31">
        <v>-8</v>
      </c>
      <c r="M31">
        <f t="shared" si="3"/>
        <v>3.8088536893012889E-3</v>
      </c>
      <c r="N31">
        <v>291</v>
      </c>
    </row>
    <row r="32" spans="1:14" x14ac:dyDescent="0.25">
      <c r="A32" s="1">
        <v>43145</v>
      </c>
      <c r="B32" s="1">
        <f t="shared" si="0"/>
        <v>2018</v>
      </c>
      <c r="C32" s="1" t="str">
        <f t="shared" si="1"/>
        <v>Feb</v>
      </c>
      <c r="D32">
        <v>260.47000100000002</v>
      </c>
      <c r="E32">
        <v>269.88000499999998</v>
      </c>
      <c r="F32">
        <v>260.32998700000002</v>
      </c>
      <c r="G32">
        <v>266</v>
      </c>
      <c r="H32">
        <v>266</v>
      </c>
      <c r="I32">
        <f t="shared" si="2"/>
        <v>5.5299989999999752</v>
      </c>
      <c r="J32">
        <v>10972000</v>
      </c>
      <c r="K32">
        <v>-3.4090909090908998E-2</v>
      </c>
      <c r="L32">
        <v>-15</v>
      </c>
      <c r="M32">
        <f t="shared" si="3"/>
        <v>2.1230848000802882E-2</v>
      </c>
      <c r="N32">
        <v>440</v>
      </c>
    </row>
    <row r="33" spans="1:14" x14ac:dyDescent="0.25">
      <c r="A33" s="1">
        <v>43146</v>
      </c>
      <c r="B33" s="1">
        <f t="shared" si="0"/>
        <v>2018</v>
      </c>
      <c r="C33" s="1" t="str">
        <f t="shared" si="1"/>
        <v>Feb</v>
      </c>
      <c r="D33">
        <v>270.02999899999998</v>
      </c>
      <c r="E33">
        <v>280.5</v>
      </c>
      <c r="F33">
        <v>267.63000499999998</v>
      </c>
      <c r="G33">
        <v>280.26998900000001</v>
      </c>
      <c r="H33">
        <v>280.26998900000001</v>
      </c>
      <c r="I33">
        <f t="shared" si="2"/>
        <v>10.239990000000034</v>
      </c>
      <c r="J33">
        <v>10759700</v>
      </c>
      <c r="K33">
        <v>-1.78173719376391E-2</v>
      </c>
      <c r="L33">
        <v>-8</v>
      </c>
      <c r="M33">
        <f t="shared" si="3"/>
        <v>3.7921675509838576E-2</v>
      </c>
      <c r="N33">
        <v>449</v>
      </c>
    </row>
    <row r="34" spans="1:14" x14ac:dyDescent="0.25">
      <c r="A34" s="1">
        <v>43147</v>
      </c>
      <c r="B34" s="1">
        <f t="shared" si="0"/>
        <v>2018</v>
      </c>
      <c r="C34" s="1" t="str">
        <f t="shared" si="1"/>
        <v>Feb</v>
      </c>
      <c r="D34">
        <v>278.73001099999999</v>
      </c>
      <c r="E34">
        <v>281.959991</v>
      </c>
      <c r="F34">
        <v>275.69000199999999</v>
      </c>
      <c r="G34">
        <v>278.51998900000001</v>
      </c>
      <c r="H34">
        <v>278.51998900000001</v>
      </c>
      <c r="I34">
        <f t="shared" si="2"/>
        <v>-0.21002199999998084</v>
      </c>
      <c r="J34">
        <v>8312400</v>
      </c>
      <c r="K34">
        <v>-6.9069069069068997E-2</v>
      </c>
      <c r="L34">
        <v>-23</v>
      </c>
      <c r="M34">
        <f t="shared" si="3"/>
        <v>-7.5349618523848458E-4</v>
      </c>
      <c r="N34">
        <v>333</v>
      </c>
    </row>
    <row r="35" spans="1:14" x14ac:dyDescent="0.25">
      <c r="A35" s="1">
        <v>43151</v>
      </c>
      <c r="B35" s="1">
        <f t="shared" si="0"/>
        <v>2018</v>
      </c>
      <c r="C35" s="1" t="str">
        <f t="shared" si="1"/>
        <v>Feb</v>
      </c>
      <c r="D35">
        <v>277.73998999999998</v>
      </c>
      <c r="E35">
        <v>285.80999800000001</v>
      </c>
      <c r="F35">
        <v>276.60998499999999</v>
      </c>
      <c r="G35">
        <v>278.54998799999998</v>
      </c>
      <c r="H35">
        <v>278.54998799999998</v>
      </c>
      <c r="I35">
        <f t="shared" si="2"/>
        <v>0.80999800000000732</v>
      </c>
      <c r="J35">
        <v>7769000</v>
      </c>
      <c r="K35">
        <v>-2.7108433734939701E-2</v>
      </c>
      <c r="L35">
        <v>-9</v>
      </c>
      <c r="M35">
        <f t="shared" si="3"/>
        <v>2.9163895339666692E-3</v>
      </c>
      <c r="N35">
        <v>332</v>
      </c>
    </row>
    <row r="36" spans="1:14" x14ac:dyDescent="0.25">
      <c r="A36" s="1">
        <v>43152</v>
      </c>
      <c r="B36" s="1">
        <f t="shared" si="0"/>
        <v>2018</v>
      </c>
      <c r="C36" s="1" t="str">
        <f t="shared" si="1"/>
        <v>Feb</v>
      </c>
      <c r="D36">
        <v>282.07000699999998</v>
      </c>
      <c r="E36">
        <v>286.64001500000001</v>
      </c>
      <c r="F36">
        <v>280.01001000000002</v>
      </c>
      <c r="G36">
        <v>281.040009</v>
      </c>
      <c r="H36">
        <v>281.040009</v>
      </c>
      <c r="I36">
        <f t="shared" si="2"/>
        <v>-1.0299979999999778</v>
      </c>
      <c r="J36">
        <v>9371100</v>
      </c>
      <c r="K36">
        <v>-5.0113895216400903E-2</v>
      </c>
      <c r="L36">
        <v>-22</v>
      </c>
      <c r="M36">
        <f t="shared" si="3"/>
        <v>-3.6515686689084169E-3</v>
      </c>
      <c r="N36">
        <v>439</v>
      </c>
    </row>
    <row r="37" spans="1:14" x14ac:dyDescent="0.25">
      <c r="A37" s="1">
        <v>43153</v>
      </c>
      <c r="B37" s="1">
        <f t="shared" si="0"/>
        <v>2018</v>
      </c>
      <c r="C37" s="1" t="str">
        <f t="shared" si="1"/>
        <v>Feb</v>
      </c>
      <c r="D37">
        <v>283.88000499999998</v>
      </c>
      <c r="E37">
        <v>284.5</v>
      </c>
      <c r="F37">
        <v>274.45001200000002</v>
      </c>
      <c r="G37">
        <v>278.14001500000001</v>
      </c>
      <c r="H37">
        <v>278.14001500000001</v>
      </c>
      <c r="I37">
        <f t="shared" si="2"/>
        <v>-5.7399899999999775</v>
      </c>
      <c r="J37">
        <v>8891500</v>
      </c>
      <c r="K37">
        <v>-8.8397790055248601E-2</v>
      </c>
      <c r="L37">
        <v>-32</v>
      </c>
      <c r="M37">
        <f t="shared" si="3"/>
        <v>-2.0219775605541425E-2</v>
      </c>
      <c r="N37">
        <v>362</v>
      </c>
    </row>
    <row r="38" spans="1:14" x14ac:dyDescent="0.25">
      <c r="A38" s="1">
        <v>43154</v>
      </c>
      <c r="B38" s="1">
        <f t="shared" si="0"/>
        <v>2018</v>
      </c>
      <c r="C38" s="1" t="str">
        <f t="shared" si="1"/>
        <v>Feb</v>
      </c>
      <c r="D38">
        <v>281</v>
      </c>
      <c r="E38">
        <v>286</v>
      </c>
      <c r="F38">
        <v>277.80999800000001</v>
      </c>
      <c r="G38">
        <v>285.92999300000002</v>
      </c>
      <c r="H38">
        <v>285.92999300000002</v>
      </c>
      <c r="I38">
        <f t="shared" si="2"/>
        <v>4.9299930000000245</v>
      </c>
      <c r="J38">
        <v>7301800</v>
      </c>
      <c r="K38">
        <v>-5.5555555555555497E-2</v>
      </c>
      <c r="L38">
        <v>-17</v>
      </c>
      <c r="M38">
        <f t="shared" si="3"/>
        <v>1.7544459074733183E-2</v>
      </c>
      <c r="N38">
        <v>306</v>
      </c>
    </row>
    <row r="39" spans="1:14" x14ac:dyDescent="0.25">
      <c r="A39" s="1">
        <v>43157</v>
      </c>
      <c r="B39" s="1">
        <f t="shared" si="0"/>
        <v>2018</v>
      </c>
      <c r="C39" s="1" t="str">
        <f t="shared" si="1"/>
        <v>Feb</v>
      </c>
      <c r="D39">
        <v>288.75</v>
      </c>
      <c r="E39">
        <v>295.64999399999999</v>
      </c>
      <c r="F39">
        <v>287.01001000000002</v>
      </c>
      <c r="G39">
        <v>294.16000400000001</v>
      </c>
      <c r="H39">
        <v>294.16000400000001</v>
      </c>
      <c r="I39">
        <f t="shared" si="2"/>
        <v>5.4100040000000149</v>
      </c>
      <c r="J39">
        <v>10268600</v>
      </c>
      <c r="K39">
        <v>-2.3346303501945501E-2</v>
      </c>
      <c r="L39">
        <v>-12</v>
      </c>
      <c r="M39">
        <f t="shared" si="3"/>
        <v>1.8735944588744641E-2</v>
      </c>
      <c r="N39">
        <v>514</v>
      </c>
    </row>
    <row r="40" spans="1:14" x14ac:dyDescent="0.25">
      <c r="A40" s="1">
        <v>43158</v>
      </c>
      <c r="B40" s="1">
        <f t="shared" si="0"/>
        <v>2018</v>
      </c>
      <c r="C40" s="1" t="str">
        <f t="shared" si="1"/>
        <v>Feb</v>
      </c>
      <c r="D40">
        <v>294.76998900000001</v>
      </c>
      <c r="E40">
        <v>297.35998499999999</v>
      </c>
      <c r="F40">
        <v>290.58999599999999</v>
      </c>
      <c r="G40">
        <v>290.60998499999999</v>
      </c>
      <c r="H40">
        <v>290.60998499999999</v>
      </c>
      <c r="I40">
        <f t="shared" si="2"/>
        <v>-4.1600040000000149</v>
      </c>
      <c r="J40">
        <v>9416500</v>
      </c>
      <c r="K40">
        <v>-5.2083333333333301E-2</v>
      </c>
      <c r="L40">
        <v>-20</v>
      </c>
      <c r="M40">
        <f t="shared" si="3"/>
        <v>-1.4112712132306028E-2</v>
      </c>
      <c r="N40">
        <v>384</v>
      </c>
    </row>
    <row r="41" spans="1:14" x14ac:dyDescent="0.25">
      <c r="A41" s="1">
        <v>43159</v>
      </c>
      <c r="B41" s="1">
        <f t="shared" si="0"/>
        <v>2018</v>
      </c>
      <c r="C41" s="1" t="str">
        <f t="shared" si="1"/>
        <v>Feb</v>
      </c>
      <c r="D41">
        <v>293.10000600000001</v>
      </c>
      <c r="E41">
        <v>295.75</v>
      </c>
      <c r="F41">
        <v>290.77999899999998</v>
      </c>
      <c r="G41">
        <v>291.38000499999998</v>
      </c>
      <c r="H41">
        <v>291.38000499999998</v>
      </c>
      <c r="I41">
        <f t="shared" si="2"/>
        <v>-1.7200010000000248</v>
      </c>
      <c r="J41">
        <v>7653500</v>
      </c>
      <c r="K41">
        <v>-7.3446327683615795E-2</v>
      </c>
      <c r="L41">
        <v>-26</v>
      </c>
      <c r="M41">
        <f t="shared" si="3"/>
        <v>-5.8683076246679594E-3</v>
      </c>
      <c r="N41">
        <v>354</v>
      </c>
    </row>
    <row r="42" spans="1:14" x14ac:dyDescent="0.25">
      <c r="A42" s="1">
        <v>43160</v>
      </c>
      <c r="B42" s="1">
        <f t="shared" si="0"/>
        <v>2018</v>
      </c>
      <c r="C42" s="1" t="str">
        <f t="shared" si="1"/>
        <v>Mar</v>
      </c>
      <c r="D42">
        <v>292.75</v>
      </c>
      <c r="E42">
        <v>295.25</v>
      </c>
      <c r="F42">
        <v>283.82998700000002</v>
      </c>
      <c r="G42">
        <v>290.39001500000001</v>
      </c>
      <c r="H42">
        <v>290.39001500000001</v>
      </c>
      <c r="I42">
        <f t="shared" si="2"/>
        <v>-2.3599849999999947</v>
      </c>
      <c r="J42">
        <v>11932100</v>
      </c>
      <c r="K42">
        <v>-7.6086956521739094E-2</v>
      </c>
      <c r="L42">
        <v>-28</v>
      </c>
      <c r="M42">
        <f t="shared" si="3"/>
        <v>-8.0614346712211595E-3</v>
      </c>
      <c r="N42">
        <v>368</v>
      </c>
    </row>
    <row r="43" spans="1:14" x14ac:dyDescent="0.25">
      <c r="A43" s="1">
        <v>43161</v>
      </c>
      <c r="B43" s="1">
        <f t="shared" si="0"/>
        <v>2018</v>
      </c>
      <c r="C43" s="1" t="str">
        <f t="shared" si="1"/>
        <v>Mar</v>
      </c>
      <c r="D43">
        <v>284.64999399999999</v>
      </c>
      <c r="E43">
        <v>301.17999300000002</v>
      </c>
      <c r="F43">
        <v>283.23001099999999</v>
      </c>
      <c r="G43">
        <v>301.04998799999998</v>
      </c>
      <c r="H43">
        <v>301.04998799999998</v>
      </c>
      <c r="I43">
        <f t="shared" si="2"/>
        <v>16.399993999999992</v>
      </c>
      <c r="J43">
        <v>13345300</v>
      </c>
      <c r="K43">
        <v>-2.06185567010309E-2</v>
      </c>
      <c r="L43">
        <v>-12</v>
      </c>
      <c r="M43">
        <f t="shared" si="3"/>
        <v>5.7614594574697212E-2</v>
      </c>
      <c r="N43">
        <v>582</v>
      </c>
    </row>
    <row r="44" spans="1:14" x14ac:dyDescent="0.25">
      <c r="A44" s="1">
        <v>43164</v>
      </c>
      <c r="B44" s="1">
        <f t="shared" si="0"/>
        <v>2018</v>
      </c>
      <c r="C44" s="1" t="str">
        <f t="shared" si="1"/>
        <v>Mar</v>
      </c>
      <c r="D44">
        <v>302.85000600000001</v>
      </c>
      <c r="E44">
        <v>316.91000400000001</v>
      </c>
      <c r="F44">
        <v>297.60000600000001</v>
      </c>
      <c r="G44">
        <v>315</v>
      </c>
      <c r="H44">
        <v>315</v>
      </c>
      <c r="I44">
        <f t="shared" si="2"/>
        <v>12.149993999999992</v>
      </c>
      <c r="J44">
        <v>18986100</v>
      </c>
      <c r="K44">
        <v>-4.0469973890339399E-2</v>
      </c>
      <c r="L44">
        <v>-31</v>
      </c>
      <c r="M44">
        <f t="shared" si="3"/>
        <v>4.0118850121469013E-2</v>
      </c>
      <c r="N44">
        <v>766</v>
      </c>
    </row>
    <row r="45" spans="1:14" x14ac:dyDescent="0.25">
      <c r="A45" s="1">
        <v>43165</v>
      </c>
      <c r="B45" s="1">
        <f t="shared" si="0"/>
        <v>2018</v>
      </c>
      <c r="C45" s="1" t="str">
        <f t="shared" si="1"/>
        <v>Mar</v>
      </c>
      <c r="D45">
        <v>319.88000499999998</v>
      </c>
      <c r="E45">
        <v>325.790009</v>
      </c>
      <c r="F45">
        <v>316.5</v>
      </c>
      <c r="G45">
        <v>325.22000100000002</v>
      </c>
      <c r="H45">
        <v>325.22000100000002</v>
      </c>
      <c r="I45">
        <f t="shared" si="2"/>
        <v>5.3399960000000419</v>
      </c>
      <c r="J45">
        <v>18525800</v>
      </c>
      <c r="K45">
        <v>-4.1223404255319097E-2</v>
      </c>
      <c r="L45">
        <v>-31</v>
      </c>
      <c r="M45">
        <f t="shared" si="3"/>
        <v>1.6693747394433241E-2</v>
      </c>
      <c r="N45">
        <v>752</v>
      </c>
    </row>
    <row r="46" spans="1:14" x14ac:dyDescent="0.25">
      <c r="A46" s="1">
        <v>43166</v>
      </c>
      <c r="B46" s="1">
        <f t="shared" si="0"/>
        <v>2018</v>
      </c>
      <c r="C46" s="1" t="str">
        <f t="shared" si="1"/>
        <v>Mar</v>
      </c>
      <c r="D46">
        <v>320</v>
      </c>
      <c r="E46">
        <v>323.73998999999998</v>
      </c>
      <c r="F46">
        <v>314.54998799999998</v>
      </c>
      <c r="G46">
        <v>321.16000400000001</v>
      </c>
      <c r="H46">
        <v>321.16000400000001</v>
      </c>
      <c r="I46">
        <f t="shared" si="2"/>
        <v>1.1600040000000149</v>
      </c>
      <c r="J46">
        <v>17132200</v>
      </c>
      <c r="K46">
        <v>-0.102685624012638</v>
      </c>
      <c r="L46">
        <v>-65</v>
      </c>
      <c r="M46">
        <f t="shared" si="3"/>
        <v>3.6250125000000465E-3</v>
      </c>
      <c r="N46">
        <v>633</v>
      </c>
    </row>
    <row r="47" spans="1:14" x14ac:dyDescent="0.25">
      <c r="A47" s="1">
        <v>43167</v>
      </c>
      <c r="B47" s="1">
        <f t="shared" si="0"/>
        <v>2018</v>
      </c>
      <c r="C47" s="1" t="str">
        <f t="shared" si="1"/>
        <v>Mar</v>
      </c>
      <c r="D47">
        <v>322.20001200000002</v>
      </c>
      <c r="E47">
        <v>322.92001299999998</v>
      </c>
      <c r="F47">
        <v>314.13000499999998</v>
      </c>
      <c r="G47">
        <v>317</v>
      </c>
      <c r="H47">
        <v>317</v>
      </c>
      <c r="I47">
        <f t="shared" si="2"/>
        <v>-5.2000120000000152</v>
      </c>
      <c r="J47">
        <v>11340100</v>
      </c>
      <c r="K47">
        <v>-6.6844919786096205E-2</v>
      </c>
      <c r="L47">
        <v>-25</v>
      </c>
      <c r="M47">
        <f t="shared" si="3"/>
        <v>-1.6139080714869788E-2</v>
      </c>
      <c r="N47">
        <v>374</v>
      </c>
    </row>
    <row r="48" spans="1:14" x14ac:dyDescent="0.25">
      <c r="A48" s="1">
        <v>43168</v>
      </c>
      <c r="B48" s="1">
        <f t="shared" si="0"/>
        <v>2018</v>
      </c>
      <c r="C48" s="1" t="str">
        <f t="shared" si="1"/>
        <v>Mar</v>
      </c>
      <c r="D48">
        <v>321.32998700000002</v>
      </c>
      <c r="E48">
        <v>331.44000199999999</v>
      </c>
      <c r="F48">
        <v>320.23001099999999</v>
      </c>
      <c r="G48">
        <v>331.44000199999999</v>
      </c>
      <c r="H48">
        <v>331.44000199999999</v>
      </c>
      <c r="I48">
        <f t="shared" si="2"/>
        <v>10.110014999999976</v>
      </c>
      <c r="J48">
        <v>14500200</v>
      </c>
      <c r="K48">
        <v>-3.9007092198581499E-2</v>
      </c>
      <c r="L48">
        <v>-22</v>
      </c>
      <c r="M48">
        <f t="shared" si="3"/>
        <v>3.1463029935018094E-2</v>
      </c>
      <c r="N48">
        <v>564</v>
      </c>
    </row>
    <row r="49" spans="1:14" x14ac:dyDescent="0.25">
      <c r="A49" s="1">
        <v>43171</v>
      </c>
      <c r="B49" s="1">
        <f t="shared" si="0"/>
        <v>2018</v>
      </c>
      <c r="C49" s="1" t="str">
        <f t="shared" si="1"/>
        <v>Mar</v>
      </c>
      <c r="D49">
        <v>333.55999800000001</v>
      </c>
      <c r="E49">
        <v>333.98001099999999</v>
      </c>
      <c r="F49">
        <v>318.60000600000001</v>
      </c>
      <c r="G49">
        <v>321.29998799999998</v>
      </c>
      <c r="H49">
        <v>321.29998799999998</v>
      </c>
      <c r="I49">
        <f t="shared" si="2"/>
        <v>-12.260010000000023</v>
      </c>
      <c r="J49">
        <v>20369200</v>
      </c>
      <c r="K49">
        <v>-0.115326251896813</v>
      </c>
      <c r="L49">
        <v>-76</v>
      </c>
      <c r="M49">
        <f t="shared" si="3"/>
        <v>-3.6755036795509344E-2</v>
      </c>
      <c r="N49">
        <v>659</v>
      </c>
    </row>
    <row r="50" spans="1:14" x14ac:dyDescent="0.25">
      <c r="A50" s="1">
        <v>43172</v>
      </c>
      <c r="B50" s="1">
        <f t="shared" si="0"/>
        <v>2018</v>
      </c>
      <c r="C50" s="1" t="str">
        <f t="shared" si="1"/>
        <v>Mar</v>
      </c>
      <c r="D50">
        <v>323.86999500000002</v>
      </c>
      <c r="E50">
        <v>325.83999599999999</v>
      </c>
      <c r="F50">
        <v>313.27999899999998</v>
      </c>
      <c r="G50">
        <v>315.88000499999998</v>
      </c>
      <c r="H50">
        <v>315.88000499999998</v>
      </c>
      <c r="I50">
        <f t="shared" si="2"/>
        <v>-7.9899900000000343</v>
      </c>
      <c r="J50">
        <v>12917200</v>
      </c>
      <c r="K50">
        <v>-9.5454545454545403E-2</v>
      </c>
      <c r="L50">
        <v>-42</v>
      </c>
      <c r="M50">
        <f t="shared" si="3"/>
        <v>-2.4670361945693779E-2</v>
      </c>
      <c r="N50">
        <v>440</v>
      </c>
    </row>
    <row r="51" spans="1:14" x14ac:dyDescent="0.25">
      <c r="A51" s="1">
        <v>43173</v>
      </c>
      <c r="B51" s="1">
        <f t="shared" si="0"/>
        <v>2018</v>
      </c>
      <c r="C51" s="1" t="str">
        <f t="shared" si="1"/>
        <v>Mar</v>
      </c>
      <c r="D51">
        <v>318.16000400000001</v>
      </c>
      <c r="E51">
        <v>323.88000499999998</v>
      </c>
      <c r="F51">
        <v>317.70001200000002</v>
      </c>
      <c r="G51">
        <v>321.54998799999998</v>
      </c>
      <c r="H51">
        <v>321.54998799999998</v>
      </c>
      <c r="I51">
        <f t="shared" si="2"/>
        <v>3.3899839999999699</v>
      </c>
      <c r="J51">
        <v>10475100</v>
      </c>
      <c r="K51">
        <v>-5.7777777777777699E-2</v>
      </c>
      <c r="L51">
        <v>-26</v>
      </c>
      <c r="M51">
        <f t="shared" si="3"/>
        <v>1.0654965920857764E-2</v>
      </c>
      <c r="N51">
        <v>450</v>
      </c>
    </row>
    <row r="52" spans="1:14" x14ac:dyDescent="0.25">
      <c r="A52" s="1">
        <v>43174</v>
      </c>
      <c r="B52" s="1">
        <f t="shared" si="0"/>
        <v>2018</v>
      </c>
      <c r="C52" s="1" t="str">
        <f t="shared" si="1"/>
        <v>Mar</v>
      </c>
      <c r="D52">
        <v>323.17001299999998</v>
      </c>
      <c r="E52">
        <v>323.39999399999999</v>
      </c>
      <c r="F52">
        <v>318.14001500000001</v>
      </c>
      <c r="G52">
        <v>321.08999599999999</v>
      </c>
      <c r="H52">
        <v>321.08999599999999</v>
      </c>
      <c r="I52">
        <f t="shared" si="2"/>
        <v>-2.080016999999998</v>
      </c>
      <c r="J52">
        <v>5642900</v>
      </c>
      <c r="K52">
        <v>-7.6411960132890297E-2</v>
      </c>
      <c r="L52">
        <v>-23</v>
      </c>
      <c r="M52">
        <f t="shared" si="3"/>
        <v>-6.4362933326985328E-3</v>
      </c>
      <c r="N52">
        <v>301</v>
      </c>
    </row>
    <row r="53" spans="1:14" x14ac:dyDescent="0.25">
      <c r="A53" s="1">
        <v>43175</v>
      </c>
      <c r="B53" s="1">
        <f t="shared" si="0"/>
        <v>2018</v>
      </c>
      <c r="C53" s="1" t="str">
        <f t="shared" si="1"/>
        <v>Mar</v>
      </c>
      <c r="D53">
        <v>321.42001299999998</v>
      </c>
      <c r="E53">
        <v>324.10998499999999</v>
      </c>
      <c r="F53">
        <v>318.36999500000002</v>
      </c>
      <c r="G53">
        <v>318.45001200000002</v>
      </c>
      <c r="H53">
        <v>318.45001200000002</v>
      </c>
      <c r="I53">
        <f t="shared" si="2"/>
        <v>-2.9700009999999679</v>
      </c>
      <c r="J53">
        <v>7333700</v>
      </c>
      <c r="K53">
        <v>-4.4217687074829898E-2</v>
      </c>
      <c r="L53">
        <v>-13</v>
      </c>
      <c r="M53">
        <f t="shared" si="3"/>
        <v>-9.2402491440381103E-3</v>
      </c>
      <c r="N53">
        <v>294</v>
      </c>
    </row>
    <row r="54" spans="1:14" x14ac:dyDescent="0.25">
      <c r="A54" s="1">
        <v>43178</v>
      </c>
      <c r="B54" s="1">
        <f t="shared" si="0"/>
        <v>2018</v>
      </c>
      <c r="C54" s="1" t="str">
        <f t="shared" si="1"/>
        <v>Mar</v>
      </c>
      <c r="D54">
        <v>315.79998799999998</v>
      </c>
      <c r="E54">
        <v>317</v>
      </c>
      <c r="F54">
        <v>307.33999599999999</v>
      </c>
      <c r="G54">
        <v>313.48001099999999</v>
      </c>
      <c r="H54">
        <v>313.48001099999999</v>
      </c>
      <c r="I54">
        <f t="shared" si="2"/>
        <v>-2.3199769999999944</v>
      </c>
      <c r="J54">
        <v>9925200</v>
      </c>
      <c r="K54">
        <v>-0.102689486552567</v>
      </c>
      <c r="L54">
        <v>-42</v>
      </c>
      <c r="M54">
        <f t="shared" si="3"/>
        <v>-7.3463492341867805E-3</v>
      </c>
      <c r="N54">
        <v>409</v>
      </c>
    </row>
    <row r="55" spans="1:14" x14ac:dyDescent="0.25">
      <c r="A55" s="1">
        <v>43179</v>
      </c>
      <c r="B55" s="1">
        <f t="shared" si="0"/>
        <v>2018</v>
      </c>
      <c r="C55" s="1" t="str">
        <f t="shared" si="1"/>
        <v>Mar</v>
      </c>
      <c r="D55">
        <v>313.26001000000002</v>
      </c>
      <c r="E55">
        <v>319.5</v>
      </c>
      <c r="F55">
        <v>312.79998799999998</v>
      </c>
      <c r="G55">
        <v>317.5</v>
      </c>
      <c r="H55">
        <v>317.5</v>
      </c>
      <c r="I55">
        <f t="shared" si="2"/>
        <v>4.2399899999999775</v>
      </c>
      <c r="J55">
        <v>5991900</v>
      </c>
      <c r="K55">
        <v>-3.4582132564841501E-2</v>
      </c>
      <c r="L55">
        <v>-12</v>
      </c>
      <c r="M55">
        <f t="shared" si="3"/>
        <v>1.3535050324489159E-2</v>
      </c>
      <c r="N55">
        <v>347</v>
      </c>
    </row>
    <row r="56" spans="1:14" x14ac:dyDescent="0.25">
      <c r="A56" s="1">
        <v>43180</v>
      </c>
      <c r="B56" s="1">
        <f t="shared" si="0"/>
        <v>2018</v>
      </c>
      <c r="C56" s="1" t="str">
        <f t="shared" si="1"/>
        <v>Mar</v>
      </c>
      <c r="D56">
        <v>316.35000600000001</v>
      </c>
      <c r="E56">
        <v>319.39999399999999</v>
      </c>
      <c r="F56">
        <v>314.51001000000002</v>
      </c>
      <c r="G56">
        <v>316.48001099999999</v>
      </c>
      <c r="H56">
        <v>316.48001099999999</v>
      </c>
      <c r="I56">
        <f t="shared" si="2"/>
        <v>0.13000499999998283</v>
      </c>
      <c r="J56">
        <v>5263900</v>
      </c>
      <c r="K56">
        <v>-7.5657894736842105E-2</v>
      </c>
      <c r="L56">
        <v>-23</v>
      </c>
      <c r="M56">
        <f t="shared" si="3"/>
        <v>4.1095305052715194E-4</v>
      </c>
      <c r="N56">
        <v>304</v>
      </c>
    </row>
    <row r="57" spans="1:14" x14ac:dyDescent="0.25">
      <c r="A57" s="1">
        <v>43181</v>
      </c>
      <c r="B57" s="1">
        <f t="shared" si="0"/>
        <v>2018</v>
      </c>
      <c r="C57" s="1" t="str">
        <f t="shared" si="1"/>
        <v>Mar</v>
      </c>
      <c r="D57">
        <v>313.07000699999998</v>
      </c>
      <c r="E57">
        <v>314.11999500000002</v>
      </c>
      <c r="F57">
        <v>305.66000400000001</v>
      </c>
      <c r="G57">
        <v>306.70001200000002</v>
      </c>
      <c r="H57">
        <v>306.70001200000002</v>
      </c>
      <c r="I57">
        <f t="shared" si="2"/>
        <v>-6.3699949999999603</v>
      </c>
      <c r="J57">
        <v>8063300</v>
      </c>
      <c r="K57">
        <v>-6.7857142857142796E-2</v>
      </c>
      <c r="L57">
        <v>-19</v>
      </c>
      <c r="M57">
        <f t="shared" si="3"/>
        <v>-2.0346870851796293E-2</v>
      </c>
      <c r="N57">
        <v>280</v>
      </c>
    </row>
    <row r="58" spans="1:14" x14ac:dyDescent="0.25">
      <c r="A58" s="1">
        <v>43182</v>
      </c>
      <c r="B58" s="1">
        <f t="shared" si="0"/>
        <v>2018</v>
      </c>
      <c r="C58" s="1" t="str">
        <f t="shared" si="1"/>
        <v>Mar</v>
      </c>
      <c r="D58">
        <v>307.41000400000001</v>
      </c>
      <c r="E58">
        <v>309.36999500000002</v>
      </c>
      <c r="F58">
        <v>300.35998499999999</v>
      </c>
      <c r="G58">
        <v>300.94000199999999</v>
      </c>
      <c r="H58">
        <v>300.94000199999999</v>
      </c>
      <c r="I58">
        <f t="shared" si="2"/>
        <v>-6.4700020000000222</v>
      </c>
      <c r="J58">
        <v>9529900</v>
      </c>
      <c r="K58">
        <v>-5.31914893617021E-2</v>
      </c>
      <c r="L58">
        <v>-15</v>
      </c>
      <c r="M58">
        <f t="shared" si="3"/>
        <v>-2.1046816680695992E-2</v>
      </c>
      <c r="N58">
        <v>282</v>
      </c>
    </row>
    <row r="59" spans="1:14" x14ac:dyDescent="0.25">
      <c r="A59" s="1">
        <v>43185</v>
      </c>
      <c r="B59" s="1">
        <f t="shared" si="0"/>
        <v>2018</v>
      </c>
      <c r="C59" s="1" t="str">
        <f t="shared" si="1"/>
        <v>Mar</v>
      </c>
      <c r="D59">
        <v>309.35998499999999</v>
      </c>
      <c r="E59">
        <v>321.02999899999998</v>
      </c>
      <c r="F59">
        <v>302</v>
      </c>
      <c r="G59">
        <v>320.35000600000001</v>
      </c>
      <c r="H59">
        <v>320.35000600000001</v>
      </c>
      <c r="I59">
        <f t="shared" si="2"/>
        <v>10.990021000000013</v>
      </c>
      <c r="J59">
        <v>11988300</v>
      </c>
      <c r="K59">
        <v>-5.2469135802469098E-2</v>
      </c>
      <c r="L59">
        <v>-17</v>
      </c>
      <c r="M59">
        <f t="shared" si="3"/>
        <v>3.5525024349868692E-2</v>
      </c>
      <c r="N59">
        <v>324</v>
      </c>
    </row>
    <row r="60" spans="1:14" x14ac:dyDescent="0.25">
      <c r="A60" s="1">
        <v>43186</v>
      </c>
      <c r="B60" s="1">
        <f t="shared" si="0"/>
        <v>2018</v>
      </c>
      <c r="C60" s="1" t="str">
        <f t="shared" si="1"/>
        <v>Mar</v>
      </c>
      <c r="D60">
        <v>322.48998999999998</v>
      </c>
      <c r="E60">
        <v>322.89999399999999</v>
      </c>
      <c r="F60">
        <v>297</v>
      </c>
      <c r="G60">
        <v>300.69000199999999</v>
      </c>
      <c r="H60">
        <v>300.69000199999999</v>
      </c>
      <c r="I60">
        <f t="shared" si="2"/>
        <v>-21.799987999999985</v>
      </c>
      <c r="J60">
        <v>12068600</v>
      </c>
      <c r="K60">
        <v>-9.5671981776765294E-2</v>
      </c>
      <c r="L60">
        <v>-42</v>
      </c>
      <c r="M60">
        <f t="shared" si="3"/>
        <v>-6.7598960203384878E-2</v>
      </c>
      <c r="N60">
        <v>439</v>
      </c>
    </row>
    <row r="61" spans="1:14" x14ac:dyDescent="0.25">
      <c r="A61" s="1">
        <v>43187</v>
      </c>
      <c r="B61" s="1">
        <f t="shared" si="0"/>
        <v>2018</v>
      </c>
      <c r="C61" s="1" t="str">
        <f t="shared" si="1"/>
        <v>Mar</v>
      </c>
      <c r="D61">
        <v>298.39001500000001</v>
      </c>
      <c r="E61">
        <v>298.79998799999998</v>
      </c>
      <c r="F61">
        <v>281.60998499999999</v>
      </c>
      <c r="G61">
        <v>285.76998900000001</v>
      </c>
      <c r="H61">
        <v>285.76998900000001</v>
      </c>
      <c r="I61">
        <f t="shared" si="2"/>
        <v>-12.620025999999996</v>
      </c>
      <c r="J61">
        <v>18972900</v>
      </c>
      <c r="K61">
        <v>-0.11734693877551</v>
      </c>
      <c r="L61">
        <v>-69</v>
      </c>
      <c r="M61">
        <f t="shared" si="3"/>
        <v>-4.229372755653367E-2</v>
      </c>
      <c r="N61">
        <v>588</v>
      </c>
    </row>
    <row r="62" spans="1:14" x14ac:dyDescent="0.25">
      <c r="A62" s="1">
        <v>43188</v>
      </c>
      <c r="B62" s="1">
        <f t="shared" si="0"/>
        <v>2018</v>
      </c>
      <c r="C62" s="1" t="str">
        <f t="shared" si="1"/>
        <v>Mar</v>
      </c>
      <c r="D62">
        <v>287</v>
      </c>
      <c r="E62">
        <v>295.35000600000001</v>
      </c>
      <c r="F62">
        <v>275.89999399999999</v>
      </c>
      <c r="G62">
        <v>295.35000600000001</v>
      </c>
      <c r="H62">
        <v>295.35000600000001</v>
      </c>
      <c r="I62">
        <f t="shared" si="2"/>
        <v>8.3500060000000076</v>
      </c>
      <c r="J62">
        <v>19145500</v>
      </c>
      <c r="K62">
        <v>-9.3203883495145606E-2</v>
      </c>
      <c r="L62">
        <v>-48</v>
      </c>
      <c r="M62">
        <f t="shared" si="3"/>
        <v>2.9094097560975637E-2</v>
      </c>
      <c r="N62">
        <v>515</v>
      </c>
    </row>
    <row r="63" spans="1:14" x14ac:dyDescent="0.25">
      <c r="A63" s="1">
        <v>43192</v>
      </c>
      <c r="B63" s="1">
        <f t="shared" si="0"/>
        <v>2018</v>
      </c>
      <c r="C63" s="1" t="str">
        <f t="shared" si="1"/>
        <v>Apr</v>
      </c>
      <c r="D63">
        <v>291.94000199999999</v>
      </c>
      <c r="E63">
        <v>292.86999500000002</v>
      </c>
      <c r="F63">
        <v>275.04998799999998</v>
      </c>
      <c r="G63">
        <v>280.290009</v>
      </c>
      <c r="H63">
        <v>280.290009</v>
      </c>
      <c r="I63">
        <f t="shared" si="2"/>
        <v>-11.649992999999995</v>
      </c>
      <c r="J63">
        <v>13405800</v>
      </c>
      <c r="K63">
        <v>-0.12093023255813901</v>
      </c>
      <c r="L63">
        <v>-52</v>
      </c>
      <c r="M63">
        <f t="shared" si="3"/>
        <v>-3.9905435775122025E-2</v>
      </c>
      <c r="N63">
        <v>430</v>
      </c>
    </row>
    <row r="64" spans="1:14" x14ac:dyDescent="0.25">
      <c r="A64" s="1">
        <v>43193</v>
      </c>
      <c r="B64" s="1">
        <f t="shared" si="0"/>
        <v>2018</v>
      </c>
      <c r="C64" s="1" t="str">
        <f t="shared" si="1"/>
        <v>Apr</v>
      </c>
      <c r="D64">
        <v>285.45001200000002</v>
      </c>
      <c r="E64">
        <v>291.25</v>
      </c>
      <c r="F64">
        <v>278.01001000000002</v>
      </c>
      <c r="G64">
        <v>283.67001299999998</v>
      </c>
      <c r="H64">
        <v>283.67001299999998</v>
      </c>
      <c r="I64">
        <f t="shared" si="2"/>
        <v>-1.7799990000000321</v>
      </c>
      <c r="J64">
        <v>12694900</v>
      </c>
      <c r="K64">
        <v>-9.2957746478873199E-2</v>
      </c>
      <c r="L64">
        <v>-33</v>
      </c>
      <c r="M64">
        <f t="shared" si="3"/>
        <v>-6.2357643200940975E-3</v>
      </c>
      <c r="N64">
        <v>355</v>
      </c>
    </row>
    <row r="65" spans="1:14" x14ac:dyDescent="0.25">
      <c r="A65" s="1">
        <v>43194</v>
      </c>
      <c r="B65" s="1">
        <f t="shared" si="0"/>
        <v>2018</v>
      </c>
      <c r="C65" s="1" t="str">
        <f t="shared" si="1"/>
        <v>Apr</v>
      </c>
      <c r="D65">
        <v>273.63000499999998</v>
      </c>
      <c r="E65">
        <v>290.30999800000001</v>
      </c>
      <c r="F65">
        <v>271.22000100000002</v>
      </c>
      <c r="G65">
        <v>288.94000199999999</v>
      </c>
      <c r="H65">
        <v>288.94000199999999</v>
      </c>
      <c r="I65">
        <f t="shared" si="2"/>
        <v>15.30999700000001</v>
      </c>
      <c r="J65">
        <v>12914000</v>
      </c>
      <c r="K65">
        <v>-4.8780487804878002E-2</v>
      </c>
      <c r="L65">
        <v>-18</v>
      </c>
      <c r="M65">
        <f t="shared" si="3"/>
        <v>5.595145532376835E-2</v>
      </c>
      <c r="N65">
        <v>369</v>
      </c>
    </row>
    <row r="66" spans="1:14" x14ac:dyDescent="0.25">
      <c r="A66" s="1">
        <v>43195</v>
      </c>
      <c r="B66" s="1">
        <f t="shared" ref="B66:B129" si="4">YEAR(A66)</f>
        <v>2018</v>
      </c>
      <c r="C66" s="1" t="str">
        <f t="shared" ref="C66:C129" si="5">TEXT(A66,"mmm")</f>
        <v>Apr</v>
      </c>
      <c r="D66">
        <v>293.14999399999999</v>
      </c>
      <c r="E66">
        <v>299.16000400000001</v>
      </c>
      <c r="F66">
        <v>289.10998499999999</v>
      </c>
      <c r="G66">
        <v>293.97000100000002</v>
      </c>
      <c r="H66">
        <v>293.97000100000002</v>
      </c>
      <c r="I66">
        <f t="shared" ref="I66:I129" si="6">G66-D66</f>
        <v>0.82000700000003235</v>
      </c>
      <c r="J66">
        <v>10655200</v>
      </c>
      <c r="K66">
        <v>-1.5772870662460501E-2</v>
      </c>
      <c r="L66">
        <v>-5</v>
      </c>
      <c r="M66">
        <f t="shared" ref="M66:M129" si="7">(G66-D66)/D66</f>
        <v>2.7972267330151554E-3</v>
      </c>
      <c r="N66">
        <v>317</v>
      </c>
    </row>
    <row r="67" spans="1:14" x14ac:dyDescent="0.25">
      <c r="A67" s="1">
        <v>43196</v>
      </c>
      <c r="B67" s="1">
        <f t="shared" si="4"/>
        <v>2018</v>
      </c>
      <c r="C67" s="1" t="str">
        <f t="shared" si="5"/>
        <v>Apr</v>
      </c>
      <c r="D67">
        <v>289.10000600000001</v>
      </c>
      <c r="E67">
        <v>298.85000600000001</v>
      </c>
      <c r="F67">
        <v>285.64999399999999</v>
      </c>
      <c r="G67">
        <v>288.85000600000001</v>
      </c>
      <c r="H67">
        <v>288.85000600000001</v>
      </c>
      <c r="I67">
        <f t="shared" si="6"/>
        <v>-0.25</v>
      </c>
      <c r="J67">
        <v>11444800</v>
      </c>
      <c r="K67">
        <v>-5.1685393258426901E-2</v>
      </c>
      <c r="L67">
        <v>-23</v>
      </c>
      <c r="M67">
        <f t="shared" si="7"/>
        <v>-8.6475266278617782E-4</v>
      </c>
      <c r="N67">
        <v>445</v>
      </c>
    </row>
    <row r="68" spans="1:14" x14ac:dyDescent="0.25">
      <c r="A68" s="1">
        <v>43199</v>
      </c>
      <c r="B68" s="1">
        <f t="shared" si="4"/>
        <v>2018</v>
      </c>
      <c r="C68" s="1" t="str">
        <f t="shared" si="5"/>
        <v>Apr</v>
      </c>
      <c r="D68">
        <v>291.76998900000001</v>
      </c>
      <c r="E68">
        <v>299.54998799999998</v>
      </c>
      <c r="F68">
        <v>289.11999500000002</v>
      </c>
      <c r="G68">
        <v>289.92999300000002</v>
      </c>
      <c r="H68">
        <v>289.92999300000002</v>
      </c>
      <c r="I68">
        <f t="shared" si="6"/>
        <v>-1.8399959999999851</v>
      </c>
      <c r="J68">
        <v>9853600</v>
      </c>
      <c r="K68">
        <v>-3.3033033033033003E-2</v>
      </c>
      <c r="L68">
        <v>-11</v>
      </c>
      <c r="M68">
        <f t="shared" si="7"/>
        <v>-6.3063237117234328E-3</v>
      </c>
      <c r="N68">
        <v>333</v>
      </c>
    </row>
    <row r="69" spans="1:14" x14ac:dyDescent="0.25">
      <c r="A69" s="1">
        <v>43200</v>
      </c>
      <c r="B69" s="1">
        <f t="shared" si="4"/>
        <v>2018</v>
      </c>
      <c r="C69" s="1" t="str">
        <f t="shared" si="5"/>
        <v>Apr</v>
      </c>
      <c r="D69">
        <v>297.67999300000002</v>
      </c>
      <c r="E69">
        <v>298.95001200000002</v>
      </c>
      <c r="F69">
        <v>291.69000199999999</v>
      </c>
      <c r="G69">
        <v>298.07000699999998</v>
      </c>
      <c r="H69">
        <v>298.07000699999998</v>
      </c>
      <c r="I69">
        <f t="shared" si="6"/>
        <v>0.39001399999995101</v>
      </c>
      <c r="J69">
        <v>10660500</v>
      </c>
      <c r="K69">
        <v>-4.90956072351421E-2</v>
      </c>
      <c r="L69">
        <v>-19</v>
      </c>
      <c r="M69">
        <f t="shared" si="7"/>
        <v>1.3101787462080159E-3</v>
      </c>
      <c r="N69">
        <v>387</v>
      </c>
    </row>
    <row r="70" spans="1:14" x14ac:dyDescent="0.25">
      <c r="A70" s="1">
        <v>43201</v>
      </c>
      <c r="B70" s="1">
        <f t="shared" si="4"/>
        <v>2018</v>
      </c>
      <c r="C70" s="1" t="str">
        <f t="shared" si="5"/>
        <v>Apr</v>
      </c>
      <c r="D70">
        <v>302.88000499999998</v>
      </c>
      <c r="E70">
        <v>311.64001500000001</v>
      </c>
      <c r="F70">
        <v>301.82000699999998</v>
      </c>
      <c r="G70">
        <v>303.67001299999998</v>
      </c>
      <c r="H70">
        <v>303.67001299999998</v>
      </c>
      <c r="I70">
        <f t="shared" si="6"/>
        <v>0.79000800000000027</v>
      </c>
      <c r="J70">
        <v>14877400</v>
      </c>
      <c r="K70">
        <v>6.8259385665529002E-3</v>
      </c>
      <c r="L70">
        <v>4</v>
      </c>
      <c r="M70">
        <f t="shared" si="7"/>
        <v>2.6083200837242471E-3</v>
      </c>
      <c r="N70">
        <v>586</v>
      </c>
    </row>
    <row r="71" spans="1:14" x14ac:dyDescent="0.25">
      <c r="A71" s="1">
        <v>43202</v>
      </c>
      <c r="B71" s="1">
        <f t="shared" si="4"/>
        <v>2018</v>
      </c>
      <c r="C71" s="1" t="str">
        <f t="shared" si="5"/>
        <v>Apr</v>
      </c>
      <c r="D71">
        <v>309.72000100000002</v>
      </c>
      <c r="E71">
        <v>311.13000499999998</v>
      </c>
      <c r="F71">
        <v>306.75</v>
      </c>
      <c r="G71">
        <v>309.25</v>
      </c>
      <c r="H71">
        <v>309.25</v>
      </c>
      <c r="I71">
        <f t="shared" si="6"/>
        <v>-0.47000100000002476</v>
      </c>
      <c r="J71">
        <v>10249400</v>
      </c>
      <c r="K71">
        <v>-2.05338809034907E-2</v>
      </c>
      <c r="L71">
        <v>-10</v>
      </c>
      <c r="M71">
        <f t="shared" si="7"/>
        <v>-1.5175029009509293E-3</v>
      </c>
      <c r="N71">
        <v>487</v>
      </c>
    </row>
    <row r="72" spans="1:14" x14ac:dyDescent="0.25">
      <c r="A72" s="1">
        <v>43203</v>
      </c>
      <c r="B72" s="1">
        <f t="shared" si="4"/>
        <v>2018</v>
      </c>
      <c r="C72" s="1" t="str">
        <f t="shared" si="5"/>
        <v>Apr</v>
      </c>
      <c r="D72">
        <v>317.290009</v>
      </c>
      <c r="E72">
        <v>317.48998999999998</v>
      </c>
      <c r="F72">
        <v>308.23001099999999</v>
      </c>
      <c r="G72">
        <v>311.64999399999999</v>
      </c>
      <c r="H72">
        <v>311.64999399999999</v>
      </c>
      <c r="I72">
        <f t="shared" si="6"/>
        <v>-5.6400150000000053</v>
      </c>
      <c r="J72">
        <v>12046600</v>
      </c>
      <c r="K72">
        <v>5.0590219224282999E-3</v>
      </c>
      <c r="L72">
        <v>3</v>
      </c>
      <c r="M72">
        <f t="shared" si="7"/>
        <v>-1.7775583346527641E-2</v>
      </c>
      <c r="N72">
        <v>593</v>
      </c>
    </row>
    <row r="73" spans="1:14" x14ac:dyDescent="0.25">
      <c r="A73" s="1">
        <v>43206</v>
      </c>
      <c r="B73" s="1">
        <f t="shared" si="4"/>
        <v>2018</v>
      </c>
      <c r="C73" s="1" t="str">
        <f t="shared" si="5"/>
        <v>Apr</v>
      </c>
      <c r="D73">
        <v>315.98998999999998</v>
      </c>
      <c r="E73">
        <v>316.10000600000001</v>
      </c>
      <c r="F73">
        <v>304</v>
      </c>
      <c r="G73">
        <v>307.77999899999998</v>
      </c>
      <c r="H73">
        <v>307.77999899999998</v>
      </c>
      <c r="I73">
        <f t="shared" si="6"/>
        <v>-8.2099910000000023</v>
      </c>
      <c r="J73">
        <v>20307900</v>
      </c>
      <c r="K73">
        <v>-5.0835148874364003E-3</v>
      </c>
      <c r="L73">
        <v>-7</v>
      </c>
      <c r="M73">
        <f t="shared" si="7"/>
        <v>-2.5981807208513164E-2</v>
      </c>
      <c r="N73">
        <v>1377</v>
      </c>
    </row>
    <row r="74" spans="1:14" x14ac:dyDescent="0.25">
      <c r="A74" s="1">
        <v>43207</v>
      </c>
      <c r="B74" s="1">
        <f t="shared" si="4"/>
        <v>2018</v>
      </c>
      <c r="C74" s="1" t="str">
        <f t="shared" si="5"/>
        <v>Apr</v>
      </c>
      <c r="D74">
        <v>329.66000400000001</v>
      </c>
      <c r="E74">
        <v>338.61999500000002</v>
      </c>
      <c r="F74">
        <v>323.76998900000001</v>
      </c>
      <c r="G74">
        <v>336.05999800000001</v>
      </c>
      <c r="H74">
        <v>336.05999800000001</v>
      </c>
      <c r="I74">
        <f t="shared" si="6"/>
        <v>6.3999939999999924</v>
      </c>
      <c r="J74">
        <v>33866500</v>
      </c>
      <c r="K74">
        <v>-1.6574585635359101E-2</v>
      </c>
      <c r="L74">
        <v>-27</v>
      </c>
      <c r="M74">
        <f t="shared" si="7"/>
        <v>1.9413923200704664E-2</v>
      </c>
      <c r="N74">
        <v>1629</v>
      </c>
    </row>
    <row r="75" spans="1:14" x14ac:dyDescent="0.25">
      <c r="A75" s="1">
        <v>43208</v>
      </c>
      <c r="B75" s="1">
        <f t="shared" si="4"/>
        <v>2018</v>
      </c>
      <c r="C75" s="1" t="str">
        <f t="shared" si="5"/>
        <v>Apr</v>
      </c>
      <c r="D75">
        <v>336.29998799999998</v>
      </c>
      <c r="E75">
        <v>338.82000699999998</v>
      </c>
      <c r="F75">
        <v>331.10000600000001</v>
      </c>
      <c r="G75">
        <v>334.51998900000001</v>
      </c>
      <c r="H75">
        <v>334.51998900000001</v>
      </c>
      <c r="I75">
        <f t="shared" si="6"/>
        <v>-1.7799989999999752</v>
      </c>
      <c r="J75">
        <v>11221100</v>
      </c>
      <c r="K75">
        <v>-4.0372670807453402E-2</v>
      </c>
      <c r="L75">
        <v>-26</v>
      </c>
      <c r="M75">
        <f t="shared" si="7"/>
        <v>-5.292890465401906E-3</v>
      </c>
      <c r="N75">
        <v>644</v>
      </c>
    </row>
    <row r="76" spans="1:14" x14ac:dyDescent="0.25">
      <c r="A76" s="1">
        <v>43209</v>
      </c>
      <c r="B76" s="1">
        <f t="shared" si="4"/>
        <v>2018</v>
      </c>
      <c r="C76" s="1" t="str">
        <f t="shared" si="5"/>
        <v>Apr</v>
      </c>
      <c r="D76">
        <v>332.88000499999998</v>
      </c>
      <c r="E76">
        <v>335.30999800000001</v>
      </c>
      <c r="F76">
        <v>326.76998900000001</v>
      </c>
      <c r="G76">
        <v>332.70001200000002</v>
      </c>
      <c r="H76">
        <v>332.70001200000002</v>
      </c>
      <c r="I76">
        <f t="shared" si="6"/>
        <v>-0.17999299999996765</v>
      </c>
      <c r="J76">
        <v>8438800</v>
      </c>
      <c r="K76">
        <v>-7.55467196819085E-2</v>
      </c>
      <c r="L76">
        <v>-38</v>
      </c>
      <c r="M76">
        <f t="shared" si="7"/>
        <v>-5.4071436342344344E-4</v>
      </c>
      <c r="N76">
        <v>503</v>
      </c>
    </row>
    <row r="77" spans="1:14" x14ac:dyDescent="0.25">
      <c r="A77" s="1">
        <v>43210</v>
      </c>
      <c r="B77" s="1">
        <f t="shared" si="4"/>
        <v>2018</v>
      </c>
      <c r="C77" s="1" t="str">
        <f t="shared" si="5"/>
        <v>Apr</v>
      </c>
      <c r="D77">
        <v>332.22000100000002</v>
      </c>
      <c r="E77">
        <v>336.51001000000002</v>
      </c>
      <c r="F77">
        <v>326</v>
      </c>
      <c r="G77">
        <v>327.76998900000001</v>
      </c>
      <c r="H77">
        <v>327.76998900000001</v>
      </c>
      <c r="I77">
        <f t="shared" si="6"/>
        <v>-4.4500120000000152</v>
      </c>
      <c r="J77">
        <v>9158700</v>
      </c>
      <c r="K77">
        <v>-5.7553956834532301E-2</v>
      </c>
      <c r="L77">
        <v>-24</v>
      </c>
      <c r="M77">
        <f t="shared" si="7"/>
        <v>-1.3394774506667992E-2</v>
      </c>
      <c r="N77">
        <v>417</v>
      </c>
    </row>
    <row r="78" spans="1:14" x14ac:dyDescent="0.25">
      <c r="A78" s="1">
        <v>43213</v>
      </c>
      <c r="B78" s="1">
        <f t="shared" si="4"/>
        <v>2018</v>
      </c>
      <c r="C78" s="1" t="str">
        <f t="shared" si="5"/>
        <v>Apr</v>
      </c>
      <c r="D78">
        <v>329.14999399999999</v>
      </c>
      <c r="E78">
        <v>331.22000100000002</v>
      </c>
      <c r="F78">
        <v>317.07998700000002</v>
      </c>
      <c r="G78">
        <v>318.69000199999999</v>
      </c>
      <c r="H78">
        <v>318.69000199999999</v>
      </c>
      <c r="I78">
        <f t="shared" si="6"/>
        <v>-10.459992</v>
      </c>
      <c r="J78">
        <v>8968000</v>
      </c>
      <c r="K78">
        <v>-7.4626865671641701E-2</v>
      </c>
      <c r="L78">
        <v>-30</v>
      </c>
      <c r="M78">
        <f t="shared" si="7"/>
        <v>-3.1778800518525913E-2</v>
      </c>
      <c r="N78">
        <v>402</v>
      </c>
    </row>
    <row r="79" spans="1:14" x14ac:dyDescent="0.25">
      <c r="A79" s="1">
        <v>43214</v>
      </c>
      <c r="B79" s="1">
        <f t="shared" si="4"/>
        <v>2018</v>
      </c>
      <c r="C79" s="1" t="str">
        <f t="shared" si="5"/>
        <v>Apr</v>
      </c>
      <c r="D79">
        <v>319.22000100000002</v>
      </c>
      <c r="E79">
        <v>320.25</v>
      </c>
      <c r="F79">
        <v>302.30999800000001</v>
      </c>
      <c r="G79">
        <v>307.01998900000001</v>
      </c>
      <c r="H79">
        <v>307.01998900000001</v>
      </c>
      <c r="I79">
        <f t="shared" si="6"/>
        <v>-12.200012000000015</v>
      </c>
      <c r="J79">
        <v>13893200</v>
      </c>
      <c r="K79">
        <v>-0.10262529832935501</v>
      </c>
      <c r="L79">
        <v>-43</v>
      </c>
      <c r="M79">
        <f t="shared" si="7"/>
        <v>-3.8218194229001377E-2</v>
      </c>
      <c r="N79">
        <v>419</v>
      </c>
    </row>
    <row r="80" spans="1:14" x14ac:dyDescent="0.25">
      <c r="A80" s="1">
        <v>43215</v>
      </c>
      <c r="B80" s="1">
        <f t="shared" si="4"/>
        <v>2018</v>
      </c>
      <c r="C80" s="1" t="str">
        <f t="shared" si="5"/>
        <v>Apr</v>
      </c>
      <c r="D80">
        <v>306.36999500000002</v>
      </c>
      <c r="E80">
        <v>309.98001099999999</v>
      </c>
      <c r="F80">
        <v>292.61999500000002</v>
      </c>
      <c r="G80">
        <v>305.76001000000002</v>
      </c>
      <c r="H80">
        <v>305.76001000000002</v>
      </c>
      <c r="I80">
        <f t="shared" si="6"/>
        <v>-0.60998499999999467</v>
      </c>
      <c r="J80">
        <v>14919700</v>
      </c>
      <c r="K80">
        <v>-9.2499999999999999E-2</v>
      </c>
      <c r="L80">
        <v>-37</v>
      </c>
      <c r="M80">
        <f t="shared" si="7"/>
        <v>-1.9910076376767724E-3</v>
      </c>
      <c r="N80">
        <v>400</v>
      </c>
    </row>
    <row r="81" spans="1:14" x14ac:dyDescent="0.25">
      <c r="A81" s="1">
        <v>43216</v>
      </c>
      <c r="B81" s="1">
        <f t="shared" si="4"/>
        <v>2018</v>
      </c>
      <c r="C81" s="1" t="str">
        <f t="shared" si="5"/>
        <v>Apr</v>
      </c>
      <c r="D81">
        <v>310</v>
      </c>
      <c r="E81">
        <v>316.63000499999998</v>
      </c>
      <c r="F81">
        <v>305.57998700000002</v>
      </c>
      <c r="G81">
        <v>313.98001099999999</v>
      </c>
      <c r="H81">
        <v>313.98001099999999</v>
      </c>
      <c r="I81">
        <f t="shared" si="6"/>
        <v>3.9800109999999904</v>
      </c>
      <c r="J81">
        <v>9266700</v>
      </c>
      <c r="K81">
        <v>-3.54609929078014E-2</v>
      </c>
      <c r="L81">
        <v>-10</v>
      </c>
      <c r="M81">
        <f t="shared" si="7"/>
        <v>1.2838745161290292E-2</v>
      </c>
      <c r="N81">
        <v>282</v>
      </c>
    </row>
    <row r="82" spans="1:14" x14ac:dyDescent="0.25">
      <c r="A82" s="1">
        <v>43217</v>
      </c>
      <c r="B82" s="1">
        <f t="shared" si="4"/>
        <v>2018</v>
      </c>
      <c r="C82" s="1" t="str">
        <f t="shared" si="5"/>
        <v>Apr</v>
      </c>
      <c r="D82">
        <v>316.25</v>
      </c>
      <c r="E82">
        <v>317.45001200000002</v>
      </c>
      <c r="F82">
        <v>306.5</v>
      </c>
      <c r="G82">
        <v>311.76001000000002</v>
      </c>
      <c r="H82">
        <v>311.76001000000002</v>
      </c>
      <c r="I82">
        <f t="shared" si="6"/>
        <v>-4.4899899999999775</v>
      </c>
      <c r="J82">
        <v>7074400</v>
      </c>
      <c r="K82">
        <v>-8.4848484848484798E-2</v>
      </c>
      <c r="L82">
        <v>-28</v>
      </c>
      <c r="M82">
        <f t="shared" si="7"/>
        <v>-1.4197596837944594E-2</v>
      </c>
      <c r="N82">
        <v>330</v>
      </c>
    </row>
    <row r="83" spans="1:14" x14ac:dyDescent="0.25">
      <c r="A83" s="1">
        <v>43220</v>
      </c>
      <c r="B83" s="1">
        <f t="shared" si="4"/>
        <v>2018</v>
      </c>
      <c r="C83" s="1" t="str">
        <f t="shared" si="5"/>
        <v>Apr</v>
      </c>
      <c r="D83">
        <v>311.07000699999998</v>
      </c>
      <c r="E83">
        <v>317.88000499999998</v>
      </c>
      <c r="F83">
        <v>310.11999500000002</v>
      </c>
      <c r="G83">
        <v>312.459991</v>
      </c>
      <c r="H83">
        <v>312.459991</v>
      </c>
      <c r="I83">
        <f t="shared" si="6"/>
        <v>1.3899840000000268</v>
      </c>
      <c r="J83">
        <v>6088800</v>
      </c>
      <c r="K83">
        <v>-5.8091286307053902E-2</v>
      </c>
      <c r="L83">
        <v>-14</v>
      </c>
      <c r="M83">
        <f t="shared" si="7"/>
        <v>4.4683960803717955E-3</v>
      </c>
      <c r="N83">
        <v>241</v>
      </c>
    </row>
    <row r="84" spans="1:14" x14ac:dyDescent="0.25">
      <c r="A84" s="1">
        <v>43221</v>
      </c>
      <c r="B84" s="1">
        <f t="shared" si="4"/>
        <v>2018</v>
      </c>
      <c r="C84" s="1" t="str">
        <f t="shared" si="5"/>
        <v>May</v>
      </c>
      <c r="D84">
        <v>310.35998499999999</v>
      </c>
      <c r="E84">
        <v>313.48001099999999</v>
      </c>
      <c r="F84">
        <v>306.69000199999999</v>
      </c>
      <c r="G84">
        <v>313.29998799999998</v>
      </c>
      <c r="H84">
        <v>313.29998799999998</v>
      </c>
      <c r="I84">
        <f t="shared" si="6"/>
        <v>2.9400029999999902</v>
      </c>
      <c r="J84">
        <v>6036600</v>
      </c>
      <c r="K84">
        <v>-6.5517241379310295E-2</v>
      </c>
      <c r="L84">
        <v>-19</v>
      </c>
      <c r="M84">
        <f t="shared" si="7"/>
        <v>9.4728803392614882E-3</v>
      </c>
      <c r="N84">
        <v>290</v>
      </c>
    </row>
    <row r="85" spans="1:14" x14ac:dyDescent="0.25">
      <c r="A85" s="1">
        <v>43222</v>
      </c>
      <c r="B85" s="1">
        <f t="shared" si="4"/>
        <v>2018</v>
      </c>
      <c r="C85" s="1" t="str">
        <f t="shared" si="5"/>
        <v>May</v>
      </c>
      <c r="D85">
        <v>311.64999399999999</v>
      </c>
      <c r="E85">
        <v>317.10000600000001</v>
      </c>
      <c r="F85">
        <v>310.39999399999999</v>
      </c>
      <c r="G85">
        <v>313.35998499999999</v>
      </c>
      <c r="H85">
        <v>313.35998499999999</v>
      </c>
      <c r="I85">
        <f t="shared" si="6"/>
        <v>1.7099910000000023</v>
      </c>
      <c r="J85">
        <v>5697100</v>
      </c>
      <c r="K85">
        <v>-4.1666666666666602E-2</v>
      </c>
      <c r="L85">
        <v>-10</v>
      </c>
      <c r="M85">
        <f t="shared" si="7"/>
        <v>5.4868956615478142E-3</v>
      </c>
      <c r="N85">
        <v>240</v>
      </c>
    </row>
    <row r="86" spans="1:14" x14ac:dyDescent="0.25">
      <c r="A86" s="1">
        <v>43223</v>
      </c>
      <c r="B86" s="1">
        <f t="shared" si="4"/>
        <v>2018</v>
      </c>
      <c r="C86" s="1" t="str">
        <f t="shared" si="5"/>
        <v>May</v>
      </c>
      <c r="D86">
        <v>312.58999599999999</v>
      </c>
      <c r="E86">
        <v>312.58999599999999</v>
      </c>
      <c r="F86">
        <v>305.73001099999999</v>
      </c>
      <c r="G86">
        <v>311.69000199999999</v>
      </c>
      <c r="H86">
        <v>311.69000199999999</v>
      </c>
      <c r="I86">
        <f t="shared" si="6"/>
        <v>-0.89999399999999241</v>
      </c>
      <c r="J86">
        <v>6135800</v>
      </c>
      <c r="K86">
        <v>-5.1886792452830101E-2</v>
      </c>
      <c r="L86">
        <v>-11</v>
      </c>
      <c r="M86">
        <f t="shared" si="7"/>
        <v>-2.8791516411804568E-3</v>
      </c>
      <c r="N86">
        <v>212</v>
      </c>
    </row>
    <row r="87" spans="1:14" x14ac:dyDescent="0.25">
      <c r="A87" s="1">
        <v>43224</v>
      </c>
      <c r="B87" s="1">
        <f t="shared" si="4"/>
        <v>2018</v>
      </c>
      <c r="C87" s="1" t="str">
        <f t="shared" si="5"/>
        <v>May</v>
      </c>
      <c r="D87">
        <v>308.709991</v>
      </c>
      <c r="E87">
        <v>320.98001099999999</v>
      </c>
      <c r="F87">
        <v>307.67001299999998</v>
      </c>
      <c r="G87">
        <v>320.08999599999999</v>
      </c>
      <c r="H87">
        <v>320.08999599999999</v>
      </c>
      <c r="I87">
        <f t="shared" si="6"/>
        <v>11.380004999999983</v>
      </c>
      <c r="J87">
        <v>8209500</v>
      </c>
      <c r="K87">
        <v>-4.296875E-2</v>
      </c>
      <c r="L87">
        <v>-11</v>
      </c>
      <c r="M87">
        <f t="shared" si="7"/>
        <v>3.6863092649307816E-2</v>
      </c>
      <c r="N87">
        <v>256</v>
      </c>
    </row>
    <row r="88" spans="1:14" x14ac:dyDescent="0.25">
      <c r="A88" s="1">
        <v>43227</v>
      </c>
      <c r="B88" s="1">
        <f t="shared" si="4"/>
        <v>2018</v>
      </c>
      <c r="C88" s="1" t="str">
        <f t="shared" si="5"/>
        <v>May</v>
      </c>
      <c r="D88">
        <v>321.98998999999998</v>
      </c>
      <c r="E88">
        <v>329.01998900000001</v>
      </c>
      <c r="F88">
        <v>319.33999599999999</v>
      </c>
      <c r="G88">
        <v>326.26001000000002</v>
      </c>
      <c r="H88">
        <v>326.26001000000002</v>
      </c>
      <c r="I88">
        <f t="shared" si="6"/>
        <v>4.270020000000045</v>
      </c>
      <c r="J88">
        <v>7117800</v>
      </c>
      <c r="K88">
        <v>-6.5281899109792194E-2</v>
      </c>
      <c r="L88">
        <v>-22</v>
      </c>
      <c r="M88">
        <f t="shared" si="7"/>
        <v>1.3261343931841004E-2</v>
      </c>
      <c r="N88">
        <v>337</v>
      </c>
    </row>
    <row r="89" spans="1:14" x14ac:dyDescent="0.25">
      <c r="A89" s="1">
        <v>43228</v>
      </c>
      <c r="B89" s="1">
        <f t="shared" si="4"/>
        <v>2018</v>
      </c>
      <c r="C89" s="1" t="str">
        <f t="shared" si="5"/>
        <v>May</v>
      </c>
      <c r="D89">
        <v>325.89999399999999</v>
      </c>
      <c r="E89">
        <v>327.35000600000001</v>
      </c>
      <c r="F89">
        <v>323.04998799999998</v>
      </c>
      <c r="G89">
        <v>326.89001500000001</v>
      </c>
      <c r="H89">
        <v>326.89001500000001</v>
      </c>
      <c r="I89">
        <f t="shared" si="6"/>
        <v>0.99002100000001292</v>
      </c>
      <c r="J89">
        <v>4735700</v>
      </c>
      <c r="K89">
        <v>-3.6666666666666597E-2</v>
      </c>
      <c r="L89">
        <v>-11</v>
      </c>
      <c r="M89">
        <f t="shared" si="7"/>
        <v>3.037806131411015E-3</v>
      </c>
      <c r="N89">
        <v>300</v>
      </c>
    </row>
    <row r="90" spans="1:14" x14ac:dyDescent="0.25">
      <c r="A90" s="1">
        <v>43229</v>
      </c>
      <c r="B90" s="1">
        <f t="shared" si="4"/>
        <v>2018</v>
      </c>
      <c r="C90" s="1" t="str">
        <f t="shared" si="5"/>
        <v>May</v>
      </c>
      <c r="D90">
        <v>328.790009</v>
      </c>
      <c r="E90">
        <v>331.95001200000002</v>
      </c>
      <c r="F90">
        <v>327.51001000000002</v>
      </c>
      <c r="G90">
        <v>330.29998799999998</v>
      </c>
      <c r="H90">
        <v>330.29998799999998</v>
      </c>
      <c r="I90">
        <f t="shared" si="6"/>
        <v>1.5099789999999871</v>
      </c>
      <c r="J90">
        <v>5633400</v>
      </c>
      <c r="K90">
        <v>-7.2289156626505993E-2</v>
      </c>
      <c r="L90">
        <v>-18</v>
      </c>
      <c r="M90">
        <f t="shared" si="7"/>
        <v>4.5925331021843402E-3</v>
      </c>
      <c r="N90">
        <v>249</v>
      </c>
    </row>
    <row r="91" spans="1:14" x14ac:dyDescent="0.25">
      <c r="A91" s="1">
        <v>43230</v>
      </c>
      <c r="B91" s="1">
        <f t="shared" si="4"/>
        <v>2018</v>
      </c>
      <c r="C91" s="1" t="str">
        <f t="shared" si="5"/>
        <v>May</v>
      </c>
      <c r="D91">
        <v>331.5</v>
      </c>
      <c r="E91">
        <v>332.05999800000001</v>
      </c>
      <c r="F91">
        <v>327.33999599999999</v>
      </c>
      <c r="G91">
        <v>329.60000600000001</v>
      </c>
      <c r="H91">
        <v>329.60000600000001</v>
      </c>
      <c r="I91">
        <f t="shared" si="6"/>
        <v>-1.8999939999999924</v>
      </c>
      <c r="J91">
        <v>5302300</v>
      </c>
      <c r="K91">
        <v>-7.1428571428571397E-2</v>
      </c>
      <c r="L91">
        <v>-16</v>
      </c>
      <c r="M91">
        <f t="shared" si="7"/>
        <v>-5.7315052790346682E-3</v>
      </c>
      <c r="N91">
        <v>224</v>
      </c>
    </row>
    <row r="92" spans="1:14" x14ac:dyDescent="0.25">
      <c r="A92" s="1">
        <v>43231</v>
      </c>
      <c r="B92" s="1">
        <f t="shared" si="4"/>
        <v>2018</v>
      </c>
      <c r="C92" s="1" t="str">
        <f t="shared" si="5"/>
        <v>May</v>
      </c>
      <c r="D92">
        <v>329.64999399999999</v>
      </c>
      <c r="E92">
        <v>331.26001000000002</v>
      </c>
      <c r="F92">
        <v>324.86999500000002</v>
      </c>
      <c r="G92">
        <v>326.459991</v>
      </c>
      <c r="H92">
        <v>326.459991</v>
      </c>
      <c r="I92">
        <f t="shared" si="6"/>
        <v>-3.1900029999999902</v>
      </c>
      <c r="J92">
        <v>4589700</v>
      </c>
      <c r="K92">
        <v>-3.6529680365296802E-2</v>
      </c>
      <c r="L92">
        <v>-8</v>
      </c>
      <c r="M92">
        <f t="shared" si="7"/>
        <v>-9.6769393540470997E-3</v>
      </c>
      <c r="N92">
        <v>219</v>
      </c>
    </row>
    <row r="93" spans="1:14" x14ac:dyDescent="0.25">
      <c r="A93" s="1">
        <v>43234</v>
      </c>
      <c r="B93" s="1">
        <f t="shared" si="4"/>
        <v>2018</v>
      </c>
      <c r="C93" s="1" t="str">
        <f t="shared" si="5"/>
        <v>May</v>
      </c>
      <c r="D93">
        <v>327.25</v>
      </c>
      <c r="E93">
        <v>330.5</v>
      </c>
      <c r="F93">
        <v>327.040009</v>
      </c>
      <c r="G93">
        <v>328.52999899999998</v>
      </c>
      <c r="H93">
        <v>328.52999899999998</v>
      </c>
      <c r="I93">
        <f t="shared" si="6"/>
        <v>1.2799989999999752</v>
      </c>
      <c r="J93">
        <v>4089800</v>
      </c>
      <c r="K93">
        <v>-7.7519379844960996E-3</v>
      </c>
      <c r="L93">
        <v>-2</v>
      </c>
      <c r="M93">
        <f t="shared" si="7"/>
        <v>3.9113796791443098E-3</v>
      </c>
      <c r="N93">
        <v>258</v>
      </c>
    </row>
    <row r="94" spans="1:14" x14ac:dyDescent="0.25">
      <c r="A94" s="1">
        <v>43235</v>
      </c>
      <c r="B94" s="1">
        <f t="shared" si="4"/>
        <v>2018</v>
      </c>
      <c r="C94" s="1" t="str">
        <f t="shared" si="5"/>
        <v>May</v>
      </c>
      <c r="D94">
        <v>325.94000199999999</v>
      </c>
      <c r="E94">
        <v>326.94000199999999</v>
      </c>
      <c r="F94">
        <v>322.42999300000002</v>
      </c>
      <c r="G94">
        <v>326.13000499999998</v>
      </c>
      <c r="H94">
        <v>326.13000499999998</v>
      </c>
      <c r="I94">
        <f t="shared" si="6"/>
        <v>0.19000299999999015</v>
      </c>
      <c r="J94">
        <v>4746100</v>
      </c>
      <c r="K94">
        <v>-2.94117647058823E-2</v>
      </c>
      <c r="L94">
        <v>-8</v>
      </c>
      <c r="M94">
        <f t="shared" si="7"/>
        <v>5.8293857407532988E-4</v>
      </c>
      <c r="N94">
        <v>272</v>
      </c>
    </row>
    <row r="95" spans="1:14" x14ac:dyDescent="0.25">
      <c r="A95" s="1">
        <v>43236</v>
      </c>
      <c r="B95" s="1">
        <f t="shared" si="4"/>
        <v>2018</v>
      </c>
      <c r="C95" s="1" t="str">
        <f t="shared" si="5"/>
        <v>May</v>
      </c>
      <c r="D95">
        <v>326.27999899999998</v>
      </c>
      <c r="E95">
        <v>329.72000100000002</v>
      </c>
      <c r="F95">
        <v>325.14001500000001</v>
      </c>
      <c r="G95">
        <v>328.19000199999999</v>
      </c>
      <c r="H95">
        <v>328.19000199999999</v>
      </c>
      <c r="I95">
        <f t="shared" si="6"/>
        <v>1.9100030000000174</v>
      </c>
      <c r="J95">
        <v>3671700</v>
      </c>
      <c r="K95">
        <v>-5.6737588652482199E-2</v>
      </c>
      <c r="L95">
        <v>-16</v>
      </c>
      <c r="M95">
        <f t="shared" si="7"/>
        <v>5.8538770560680846E-3</v>
      </c>
      <c r="N95">
        <v>282</v>
      </c>
    </row>
    <row r="96" spans="1:14" x14ac:dyDescent="0.25">
      <c r="A96" s="1">
        <v>43237</v>
      </c>
      <c r="B96" s="1">
        <f t="shared" si="4"/>
        <v>2018</v>
      </c>
      <c r="C96" s="1" t="str">
        <f t="shared" si="5"/>
        <v>May</v>
      </c>
      <c r="D96">
        <v>327.52999899999998</v>
      </c>
      <c r="E96">
        <v>330.45001200000002</v>
      </c>
      <c r="F96">
        <v>323.17001299999998</v>
      </c>
      <c r="G96">
        <v>325.22000100000002</v>
      </c>
      <c r="H96">
        <v>325.22000100000002</v>
      </c>
      <c r="I96">
        <f t="shared" si="6"/>
        <v>-2.3099979999999505</v>
      </c>
      <c r="J96">
        <v>4935700</v>
      </c>
      <c r="K96">
        <v>-4.0145985401459798E-2</v>
      </c>
      <c r="L96">
        <v>-11</v>
      </c>
      <c r="M96">
        <f t="shared" si="7"/>
        <v>-7.0527829727131362E-3</v>
      </c>
      <c r="N96">
        <v>274</v>
      </c>
    </row>
    <row r="97" spans="1:14" x14ac:dyDescent="0.25">
      <c r="A97" s="1">
        <v>43238</v>
      </c>
      <c r="B97" s="1">
        <f t="shared" si="4"/>
        <v>2018</v>
      </c>
      <c r="C97" s="1" t="str">
        <f t="shared" si="5"/>
        <v>May</v>
      </c>
      <c r="D97">
        <v>324.89999399999999</v>
      </c>
      <c r="E97">
        <v>326.42001299999998</v>
      </c>
      <c r="F97">
        <v>322.79998799999998</v>
      </c>
      <c r="G97">
        <v>324.17999300000002</v>
      </c>
      <c r="H97">
        <v>324.17999300000002</v>
      </c>
      <c r="I97">
        <f t="shared" si="6"/>
        <v>-0.72000099999996792</v>
      </c>
      <c r="J97">
        <v>3577700</v>
      </c>
      <c r="K97">
        <v>-8.4745762711864403E-2</v>
      </c>
      <c r="L97">
        <v>-15</v>
      </c>
      <c r="M97">
        <f t="shared" si="7"/>
        <v>-2.2160696007891213E-3</v>
      </c>
      <c r="N97">
        <v>177</v>
      </c>
    </row>
    <row r="98" spans="1:14" x14ac:dyDescent="0.25">
      <c r="A98" s="1">
        <v>43241</v>
      </c>
      <c r="B98" s="1">
        <f t="shared" si="4"/>
        <v>2018</v>
      </c>
      <c r="C98" s="1" t="str">
        <f t="shared" si="5"/>
        <v>May</v>
      </c>
      <c r="D98">
        <v>327.10998499999999</v>
      </c>
      <c r="E98">
        <v>331.88000499999998</v>
      </c>
      <c r="F98">
        <v>325.45001200000002</v>
      </c>
      <c r="G98">
        <v>331.82000699999998</v>
      </c>
      <c r="H98">
        <v>331.82000699999998</v>
      </c>
      <c r="I98">
        <f t="shared" si="6"/>
        <v>4.7100219999999808</v>
      </c>
      <c r="J98">
        <v>6657300</v>
      </c>
      <c r="K98">
        <v>-2.6190476190476101E-2</v>
      </c>
      <c r="L98">
        <v>-11</v>
      </c>
      <c r="M98">
        <f t="shared" si="7"/>
        <v>1.4398893998909819E-2</v>
      </c>
      <c r="N98">
        <v>420</v>
      </c>
    </row>
    <row r="99" spans="1:14" x14ac:dyDescent="0.25">
      <c r="A99" s="1">
        <v>43242</v>
      </c>
      <c r="B99" s="1">
        <f t="shared" si="4"/>
        <v>2018</v>
      </c>
      <c r="C99" s="1" t="str">
        <f t="shared" si="5"/>
        <v>May</v>
      </c>
      <c r="D99">
        <v>334.04998799999998</v>
      </c>
      <c r="E99">
        <v>336.63000499999998</v>
      </c>
      <c r="F99">
        <v>331.14999399999999</v>
      </c>
      <c r="G99">
        <v>331.61999500000002</v>
      </c>
      <c r="H99">
        <v>331.61999500000002</v>
      </c>
      <c r="I99">
        <f t="shared" si="6"/>
        <v>-2.4299929999999677</v>
      </c>
      <c r="J99">
        <v>5964400</v>
      </c>
      <c r="K99">
        <v>-7.9404466501240695E-2</v>
      </c>
      <c r="L99">
        <v>-32</v>
      </c>
      <c r="M99">
        <f t="shared" si="7"/>
        <v>-7.2743394320971136E-3</v>
      </c>
      <c r="N99">
        <v>403</v>
      </c>
    </row>
    <row r="100" spans="1:14" x14ac:dyDescent="0.25">
      <c r="A100" s="1">
        <v>43243</v>
      </c>
      <c r="B100" s="1">
        <f t="shared" si="4"/>
        <v>2018</v>
      </c>
      <c r="C100" s="1" t="str">
        <f t="shared" si="5"/>
        <v>May</v>
      </c>
      <c r="D100">
        <v>329.040009</v>
      </c>
      <c r="E100">
        <v>345</v>
      </c>
      <c r="F100">
        <v>328.08999599999999</v>
      </c>
      <c r="G100">
        <v>344.72000100000002</v>
      </c>
      <c r="H100">
        <v>344.72000100000002</v>
      </c>
      <c r="I100">
        <f t="shared" si="6"/>
        <v>15.679992000000027</v>
      </c>
      <c r="J100">
        <v>10049100</v>
      </c>
      <c r="K100">
        <v>3.6603221083455303E-2</v>
      </c>
      <c r="L100">
        <v>25</v>
      </c>
      <c r="M100">
        <f t="shared" si="7"/>
        <v>4.7653755078763162E-2</v>
      </c>
      <c r="N100">
        <v>683</v>
      </c>
    </row>
    <row r="101" spans="1:14" x14ac:dyDescent="0.25">
      <c r="A101" s="1">
        <v>43244</v>
      </c>
      <c r="B101" s="1">
        <f t="shared" si="4"/>
        <v>2018</v>
      </c>
      <c r="C101" s="1" t="str">
        <f t="shared" si="5"/>
        <v>May</v>
      </c>
      <c r="D101">
        <v>344.33999599999999</v>
      </c>
      <c r="E101">
        <v>354</v>
      </c>
      <c r="F101">
        <v>341.11999500000002</v>
      </c>
      <c r="G101">
        <v>349.290009</v>
      </c>
      <c r="H101">
        <v>349.290009</v>
      </c>
      <c r="I101">
        <f t="shared" si="6"/>
        <v>4.9500130000000127</v>
      </c>
      <c r="J101">
        <v>14758600</v>
      </c>
      <c r="K101">
        <v>-2.62216924910607E-2</v>
      </c>
      <c r="L101">
        <v>-22</v>
      </c>
      <c r="M101">
        <f t="shared" si="7"/>
        <v>1.4375364632344402E-2</v>
      </c>
      <c r="N101">
        <v>839</v>
      </c>
    </row>
    <row r="102" spans="1:14" x14ac:dyDescent="0.25">
      <c r="A102" s="1">
        <v>43245</v>
      </c>
      <c r="B102" s="1">
        <f t="shared" si="4"/>
        <v>2018</v>
      </c>
      <c r="C102" s="1" t="str">
        <f t="shared" si="5"/>
        <v>May</v>
      </c>
      <c r="D102">
        <v>349.89999399999999</v>
      </c>
      <c r="E102">
        <v>354.35998499999999</v>
      </c>
      <c r="F102">
        <v>348.82998700000002</v>
      </c>
      <c r="G102">
        <v>351.290009</v>
      </c>
      <c r="H102">
        <v>351.290009</v>
      </c>
      <c r="I102">
        <f t="shared" si="6"/>
        <v>1.3900150000000053</v>
      </c>
      <c r="J102">
        <v>7817400</v>
      </c>
      <c r="K102">
        <v>-2.6266416510318899E-2</v>
      </c>
      <c r="L102">
        <v>-14</v>
      </c>
      <c r="M102">
        <f t="shared" si="7"/>
        <v>3.9726065271095869E-3</v>
      </c>
      <c r="N102">
        <v>533</v>
      </c>
    </row>
    <row r="103" spans="1:14" x14ac:dyDescent="0.25">
      <c r="A103" s="1">
        <v>43249</v>
      </c>
      <c r="B103" s="1">
        <f t="shared" si="4"/>
        <v>2018</v>
      </c>
      <c r="C103" s="1" t="str">
        <f t="shared" si="5"/>
        <v>May</v>
      </c>
      <c r="D103">
        <v>351.5</v>
      </c>
      <c r="E103">
        <v>356.10000600000001</v>
      </c>
      <c r="F103">
        <v>346.709991</v>
      </c>
      <c r="G103">
        <v>349.73001099999999</v>
      </c>
      <c r="H103">
        <v>349.73001099999999</v>
      </c>
      <c r="I103">
        <f t="shared" si="6"/>
        <v>-1.7699890000000096</v>
      </c>
      <c r="J103">
        <v>9717900</v>
      </c>
      <c r="K103">
        <v>-7.6142131979695396E-2</v>
      </c>
      <c r="L103">
        <v>-30</v>
      </c>
      <c r="M103">
        <f t="shared" si="7"/>
        <v>-5.0355305832148209E-3</v>
      </c>
      <c r="N103">
        <v>394</v>
      </c>
    </row>
    <row r="104" spans="1:14" x14ac:dyDescent="0.25">
      <c r="A104" s="1">
        <v>43250</v>
      </c>
      <c r="B104" s="1">
        <f t="shared" si="4"/>
        <v>2018</v>
      </c>
      <c r="C104" s="1" t="str">
        <f t="shared" si="5"/>
        <v>May</v>
      </c>
      <c r="D104">
        <v>352.36999500000002</v>
      </c>
      <c r="E104">
        <v>354</v>
      </c>
      <c r="F104">
        <v>349.26001000000002</v>
      </c>
      <c r="G104">
        <v>353.540009</v>
      </c>
      <c r="H104">
        <v>353.540009</v>
      </c>
      <c r="I104">
        <f t="shared" si="6"/>
        <v>1.1700139999999806</v>
      </c>
      <c r="J104">
        <v>5685500</v>
      </c>
      <c r="K104">
        <v>-0.10759493670886</v>
      </c>
      <c r="L104">
        <v>-34</v>
      </c>
      <c r="M104">
        <f t="shared" si="7"/>
        <v>3.3204132491473359E-3</v>
      </c>
      <c r="N104">
        <v>316</v>
      </c>
    </row>
    <row r="105" spans="1:14" x14ac:dyDescent="0.25">
      <c r="A105" s="1">
        <v>43251</v>
      </c>
      <c r="B105" s="1">
        <f t="shared" si="4"/>
        <v>2018</v>
      </c>
      <c r="C105" s="1" t="str">
        <f t="shared" si="5"/>
        <v>May</v>
      </c>
      <c r="D105">
        <v>353.79998799999998</v>
      </c>
      <c r="E105">
        <v>355.52999899999998</v>
      </c>
      <c r="F105">
        <v>350.209991</v>
      </c>
      <c r="G105">
        <v>351.60000600000001</v>
      </c>
      <c r="H105">
        <v>351.60000600000001</v>
      </c>
      <c r="I105">
        <f t="shared" si="6"/>
        <v>-2.1999819999999772</v>
      </c>
      <c r="J105">
        <v>6921700</v>
      </c>
      <c r="K105">
        <v>-0.111864406779661</v>
      </c>
      <c r="L105">
        <v>-33</v>
      </c>
      <c r="M105">
        <f t="shared" si="7"/>
        <v>-6.2181517089253758E-3</v>
      </c>
      <c r="N105">
        <v>295</v>
      </c>
    </row>
    <row r="106" spans="1:14" x14ac:dyDescent="0.25">
      <c r="A106" s="1">
        <v>43252</v>
      </c>
      <c r="B106" s="1">
        <f t="shared" si="4"/>
        <v>2018</v>
      </c>
      <c r="C106" s="1" t="str">
        <f t="shared" si="5"/>
        <v>Jun</v>
      </c>
      <c r="D106">
        <v>353.88000499999998</v>
      </c>
      <c r="E106">
        <v>359.98998999999998</v>
      </c>
      <c r="F106">
        <v>352.82000699999998</v>
      </c>
      <c r="G106">
        <v>359.92999300000002</v>
      </c>
      <c r="H106">
        <v>359.92999300000002</v>
      </c>
      <c r="I106">
        <f t="shared" si="6"/>
        <v>6.0499880000000417</v>
      </c>
      <c r="J106">
        <v>7112300</v>
      </c>
      <c r="K106">
        <v>3.4188034188034101E-2</v>
      </c>
      <c r="L106">
        <v>12</v>
      </c>
      <c r="M106">
        <f t="shared" si="7"/>
        <v>1.7096156647788116E-2</v>
      </c>
      <c r="N106">
        <v>351</v>
      </c>
    </row>
    <row r="107" spans="1:14" x14ac:dyDescent="0.25">
      <c r="A107" s="1">
        <v>43255</v>
      </c>
      <c r="B107" s="1">
        <f t="shared" si="4"/>
        <v>2018</v>
      </c>
      <c r="C107" s="1" t="str">
        <f t="shared" si="5"/>
        <v>Jun</v>
      </c>
      <c r="D107">
        <v>362.67999300000002</v>
      </c>
      <c r="E107">
        <v>363</v>
      </c>
      <c r="F107">
        <v>355.51001000000002</v>
      </c>
      <c r="G107">
        <v>361.80999800000001</v>
      </c>
      <c r="H107">
        <v>361.80999800000001</v>
      </c>
      <c r="I107">
        <f t="shared" si="6"/>
        <v>-0.86999500000001717</v>
      </c>
      <c r="J107">
        <v>7682000</v>
      </c>
      <c r="K107">
        <v>-7.0496083550913802E-2</v>
      </c>
      <c r="L107">
        <v>-27</v>
      </c>
      <c r="M107">
        <f t="shared" si="7"/>
        <v>-2.3987951273618147E-3</v>
      </c>
      <c r="N107">
        <v>383</v>
      </c>
    </row>
    <row r="108" spans="1:14" x14ac:dyDescent="0.25">
      <c r="A108" s="1">
        <v>43256</v>
      </c>
      <c r="B108" s="1">
        <f t="shared" si="4"/>
        <v>2018</v>
      </c>
      <c r="C108" s="1" t="str">
        <f t="shared" si="5"/>
        <v>Jun</v>
      </c>
      <c r="D108">
        <v>363.32000699999998</v>
      </c>
      <c r="E108">
        <v>369.82998700000002</v>
      </c>
      <c r="F108">
        <v>361.41000400000001</v>
      </c>
      <c r="G108">
        <v>365.79998799999998</v>
      </c>
      <c r="H108">
        <v>365.79998799999998</v>
      </c>
      <c r="I108">
        <f t="shared" si="6"/>
        <v>2.4799810000000093</v>
      </c>
      <c r="J108">
        <v>8358000</v>
      </c>
      <c r="K108">
        <v>-1.43737166324435E-2</v>
      </c>
      <c r="L108">
        <v>-7</v>
      </c>
      <c r="M108">
        <f t="shared" si="7"/>
        <v>6.8258861395431207E-3</v>
      </c>
      <c r="N108">
        <v>487</v>
      </c>
    </row>
    <row r="109" spans="1:14" x14ac:dyDescent="0.25">
      <c r="A109" s="1">
        <v>43257</v>
      </c>
      <c r="B109" s="1">
        <f t="shared" si="4"/>
        <v>2018</v>
      </c>
      <c r="C109" s="1" t="str">
        <f t="shared" si="5"/>
        <v>Jun</v>
      </c>
      <c r="D109">
        <v>367.77999899999998</v>
      </c>
      <c r="E109">
        <v>369.67999300000002</v>
      </c>
      <c r="F109">
        <v>363.32998700000002</v>
      </c>
      <c r="G109">
        <v>367.45001200000002</v>
      </c>
      <c r="H109">
        <v>367.45001200000002</v>
      </c>
      <c r="I109">
        <f t="shared" si="6"/>
        <v>-0.32998699999996006</v>
      </c>
      <c r="J109">
        <v>7712300</v>
      </c>
      <c r="K109">
        <v>-6.8493150684931E-3</v>
      </c>
      <c r="L109">
        <v>-2</v>
      </c>
      <c r="M109">
        <f t="shared" si="7"/>
        <v>-8.9724020038392592E-4</v>
      </c>
      <c r="N109">
        <v>292</v>
      </c>
    </row>
    <row r="110" spans="1:14" x14ac:dyDescent="0.25">
      <c r="A110" s="1">
        <v>43258</v>
      </c>
      <c r="B110" s="1">
        <f t="shared" si="4"/>
        <v>2018</v>
      </c>
      <c r="C110" s="1" t="str">
        <f t="shared" si="5"/>
        <v>Jun</v>
      </c>
      <c r="D110">
        <v>368.540009</v>
      </c>
      <c r="E110">
        <v>368.70001200000002</v>
      </c>
      <c r="F110">
        <v>357.79998799999998</v>
      </c>
      <c r="G110">
        <v>361.39999399999999</v>
      </c>
      <c r="H110">
        <v>361.39999399999999</v>
      </c>
      <c r="I110">
        <f t="shared" si="6"/>
        <v>-7.1400150000000053</v>
      </c>
      <c r="J110">
        <v>8278000</v>
      </c>
      <c r="K110">
        <v>-4.0498442367601202E-2</v>
      </c>
      <c r="L110">
        <v>-13</v>
      </c>
      <c r="M110">
        <f t="shared" si="7"/>
        <v>-1.9373785276051277E-2</v>
      </c>
      <c r="N110">
        <v>321</v>
      </c>
    </row>
    <row r="111" spans="1:14" x14ac:dyDescent="0.25">
      <c r="A111" s="1">
        <v>43259</v>
      </c>
      <c r="B111" s="1">
        <f t="shared" si="4"/>
        <v>2018</v>
      </c>
      <c r="C111" s="1" t="str">
        <f t="shared" si="5"/>
        <v>Jun</v>
      </c>
      <c r="D111">
        <v>358.05999800000001</v>
      </c>
      <c r="E111">
        <v>362.39001500000001</v>
      </c>
      <c r="F111">
        <v>356.25</v>
      </c>
      <c r="G111">
        <v>360.57000699999998</v>
      </c>
      <c r="H111">
        <v>360.57000699999998</v>
      </c>
      <c r="I111">
        <f t="shared" si="6"/>
        <v>2.5100089999999682</v>
      </c>
      <c r="J111">
        <v>5225700</v>
      </c>
      <c r="K111">
        <v>-1.1494252873563199E-2</v>
      </c>
      <c r="L111">
        <v>-3</v>
      </c>
      <c r="M111">
        <f t="shared" si="7"/>
        <v>7.0100234989108395E-3</v>
      </c>
      <c r="N111">
        <v>261</v>
      </c>
    </row>
    <row r="112" spans="1:14" x14ac:dyDescent="0.25">
      <c r="A112" s="1">
        <v>43262</v>
      </c>
      <c r="B112" s="1">
        <f t="shared" si="4"/>
        <v>2018</v>
      </c>
      <c r="C112" s="1" t="str">
        <f t="shared" si="5"/>
        <v>Jun</v>
      </c>
      <c r="D112">
        <v>361.88000499999998</v>
      </c>
      <c r="E112">
        <v>365.67001299999998</v>
      </c>
      <c r="F112">
        <v>360.91000400000001</v>
      </c>
      <c r="G112">
        <v>361.45001200000002</v>
      </c>
      <c r="H112">
        <v>361.45001200000002</v>
      </c>
      <c r="I112">
        <f t="shared" si="6"/>
        <v>-0.42999299999996765</v>
      </c>
      <c r="J112">
        <v>4432400</v>
      </c>
      <c r="K112">
        <v>-8.9795918367346905E-2</v>
      </c>
      <c r="L112">
        <v>-22</v>
      </c>
      <c r="M112">
        <f t="shared" si="7"/>
        <v>-1.1882198354671949E-3</v>
      </c>
      <c r="N112">
        <v>245</v>
      </c>
    </row>
    <row r="113" spans="1:14" x14ac:dyDescent="0.25">
      <c r="A113" s="1">
        <v>43263</v>
      </c>
      <c r="B113" s="1">
        <f t="shared" si="4"/>
        <v>2018</v>
      </c>
      <c r="C113" s="1" t="str">
        <f t="shared" si="5"/>
        <v>Jun</v>
      </c>
      <c r="D113">
        <v>363.60000600000001</v>
      </c>
      <c r="E113">
        <v>365.98001099999999</v>
      </c>
      <c r="F113">
        <v>362</v>
      </c>
      <c r="G113">
        <v>363.82998700000002</v>
      </c>
      <c r="H113">
        <v>363.82998700000002</v>
      </c>
      <c r="I113">
        <f t="shared" si="6"/>
        <v>0.22998100000000932</v>
      </c>
      <c r="J113">
        <v>4291000</v>
      </c>
      <c r="K113">
        <v>-8.0701754385964899E-2</v>
      </c>
      <c r="L113">
        <v>-23</v>
      </c>
      <c r="M113">
        <f t="shared" si="7"/>
        <v>6.3251099066266049E-4</v>
      </c>
      <c r="N113">
        <v>285</v>
      </c>
    </row>
    <row r="114" spans="1:14" x14ac:dyDescent="0.25">
      <c r="A114" s="1">
        <v>43264</v>
      </c>
      <c r="B114" s="1">
        <f t="shared" si="4"/>
        <v>2018</v>
      </c>
      <c r="C114" s="1" t="str">
        <f t="shared" si="5"/>
        <v>Jun</v>
      </c>
      <c r="D114">
        <v>367.52999899999998</v>
      </c>
      <c r="E114">
        <v>384.25</v>
      </c>
      <c r="F114">
        <v>364.10998499999999</v>
      </c>
      <c r="G114">
        <v>379.92999300000002</v>
      </c>
      <c r="H114">
        <v>379.92999300000002</v>
      </c>
      <c r="I114">
        <f t="shared" si="6"/>
        <v>12.399994000000049</v>
      </c>
      <c r="J114">
        <v>18222800</v>
      </c>
      <c r="K114">
        <v>-6.3034188034188005E-2</v>
      </c>
      <c r="L114">
        <v>-59</v>
      </c>
      <c r="M114">
        <f t="shared" si="7"/>
        <v>3.3738726182185881E-2</v>
      </c>
      <c r="N114">
        <v>936</v>
      </c>
    </row>
    <row r="115" spans="1:14" x14ac:dyDescent="0.25">
      <c r="A115" s="1">
        <v>43265</v>
      </c>
      <c r="B115" s="1">
        <f t="shared" si="4"/>
        <v>2018</v>
      </c>
      <c r="C115" s="1" t="str">
        <f t="shared" si="5"/>
        <v>Jun</v>
      </c>
      <c r="D115">
        <v>384.26998900000001</v>
      </c>
      <c r="E115">
        <v>395.02999899999998</v>
      </c>
      <c r="F115">
        <v>383.25</v>
      </c>
      <c r="G115">
        <v>392.86999500000002</v>
      </c>
      <c r="H115">
        <v>392.86999500000002</v>
      </c>
      <c r="I115">
        <f t="shared" si="6"/>
        <v>8.6000060000000076</v>
      </c>
      <c r="J115">
        <v>14598300</v>
      </c>
      <c r="K115">
        <v>-6.40732265446224E-2</v>
      </c>
      <c r="L115">
        <v>-56</v>
      </c>
      <c r="M115">
        <f t="shared" si="7"/>
        <v>2.2380113582067963E-2</v>
      </c>
      <c r="N115">
        <v>874</v>
      </c>
    </row>
    <row r="116" spans="1:14" x14ac:dyDescent="0.25">
      <c r="A116" s="1">
        <v>43266</v>
      </c>
      <c r="B116" s="1">
        <f t="shared" si="4"/>
        <v>2018</v>
      </c>
      <c r="C116" s="1" t="str">
        <f t="shared" si="5"/>
        <v>Jun</v>
      </c>
      <c r="D116">
        <v>390.709991</v>
      </c>
      <c r="E116">
        <v>398.85998499999999</v>
      </c>
      <c r="F116">
        <v>387.51001000000002</v>
      </c>
      <c r="G116">
        <v>391.98001099999999</v>
      </c>
      <c r="H116">
        <v>391.98001099999999</v>
      </c>
      <c r="I116">
        <f t="shared" si="6"/>
        <v>1.2700199999999882</v>
      </c>
      <c r="J116">
        <v>13588100</v>
      </c>
      <c r="K116">
        <v>-1.2903225806451601E-2</v>
      </c>
      <c r="L116">
        <v>-8</v>
      </c>
      <c r="M116">
        <f t="shared" si="7"/>
        <v>3.2505439565275619E-3</v>
      </c>
      <c r="N116">
        <v>620</v>
      </c>
    </row>
    <row r="117" spans="1:14" x14ac:dyDescent="0.25">
      <c r="A117" s="1">
        <v>43269</v>
      </c>
      <c r="B117" s="1">
        <f t="shared" si="4"/>
        <v>2018</v>
      </c>
      <c r="C117" s="1" t="str">
        <f t="shared" si="5"/>
        <v>Jun</v>
      </c>
      <c r="D117">
        <v>387.72000100000002</v>
      </c>
      <c r="E117">
        <v>393.16000400000001</v>
      </c>
      <c r="F117">
        <v>386.5</v>
      </c>
      <c r="G117">
        <v>390.39999399999999</v>
      </c>
      <c r="H117">
        <v>390.39999399999999</v>
      </c>
      <c r="I117">
        <f t="shared" si="6"/>
        <v>2.6799929999999677</v>
      </c>
      <c r="J117">
        <v>6824800</v>
      </c>
      <c r="K117">
        <v>-4.3956043956043897E-2</v>
      </c>
      <c r="L117">
        <v>-12</v>
      </c>
      <c r="M117">
        <f t="shared" si="7"/>
        <v>6.9121866116985987E-3</v>
      </c>
      <c r="N117">
        <v>273</v>
      </c>
    </row>
    <row r="118" spans="1:14" x14ac:dyDescent="0.25">
      <c r="A118" s="1">
        <v>43270</v>
      </c>
      <c r="B118" s="1">
        <f t="shared" si="4"/>
        <v>2018</v>
      </c>
      <c r="C118" s="1" t="str">
        <f t="shared" si="5"/>
        <v>Jun</v>
      </c>
      <c r="D118">
        <v>389.5</v>
      </c>
      <c r="E118">
        <v>405.290009</v>
      </c>
      <c r="F118">
        <v>388.5</v>
      </c>
      <c r="G118">
        <v>404.98001099999999</v>
      </c>
      <c r="H118">
        <v>404.98001099999999</v>
      </c>
      <c r="I118">
        <f t="shared" si="6"/>
        <v>15.48001099999999</v>
      </c>
      <c r="J118">
        <v>16697100</v>
      </c>
      <c r="K118">
        <v>-2.5089605734767002E-2</v>
      </c>
      <c r="L118">
        <v>-21</v>
      </c>
      <c r="M118">
        <f t="shared" si="7"/>
        <v>3.9743288831835664E-2</v>
      </c>
      <c r="N118">
        <v>837</v>
      </c>
    </row>
    <row r="119" spans="1:14" x14ac:dyDescent="0.25">
      <c r="A119" s="1">
        <v>43271</v>
      </c>
      <c r="B119" s="1">
        <f t="shared" si="4"/>
        <v>2018</v>
      </c>
      <c r="C119" s="1" t="str">
        <f t="shared" si="5"/>
        <v>Jun</v>
      </c>
      <c r="D119">
        <v>415.14999399999999</v>
      </c>
      <c r="E119">
        <v>419.47000100000002</v>
      </c>
      <c r="F119">
        <v>409.60000600000001</v>
      </c>
      <c r="G119">
        <v>416.76001000000002</v>
      </c>
      <c r="H119">
        <v>416.76001000000002</v>
      </c>
      <c r="I119">
        <f t="shared" si="6"/>
        <v>1.6100160000000301</v>
      </c>
      <c r="J119">
        <v>16494600</v>
      </c>
      <c r="K119">
        <v>-8.51851851851851E-2</v>
      </c>
      <c r="L119">
        <v>-92</v>
      </c>
      <c r="M119">
        <f t="shared" si="7"/>
        <v>3.8781549398264718E-3</v>
      </c>
      <c r="N119">
        <v>1080</v>
      </c>
    </row>
    <row r="120" spans="1:14" x14ac:dyDescent="0.25">
      <c r="A120" s="1">
        <v>43272</v>
      </c>
      <c r="B120" s="1">
        <f t="shared" si="4"/>
        <v>2018</v>
      </c>
      <c r="C120" s="1" t="str">
        <f t="shared" si="5"/>
        <v>Jun</v>
      </c>
      <c r="D120">
        <v>421.38000499999998</v>
      </c>
      <c r="E120">
        <v>423.209991</v>
      </c>
      <c r="F120">
        <v>406.36999500000002</v>
      </c>
      <c r="G120">
        <v>415.44000199999999</v>
      </c>
      <c r="H120">
        <v>415.44000199999999</v>
      </c>
      <c r="I120">
        <f t="shared" si="6"/>
        <v>-5.9400029999999902</v>
      </c>
      <c r="J120">
        <v>18389900</v>
      </c>
      <c r="K120">
        <v>-0.121595330739299</v>
      </c>
      <c r="L120">
        <v>-125</v>
      </c>
      <c r="M120">
        <f t="shared" si="7"/>
        <v>-1.4096546892394646E-2</v>
      </c>
      <c r="N120">
        <v>1028</v>
      </c>
    </row>
    <row r="121" spans="1:14" x14ac:dyDescent="0.25">
      <c r="A121" s="1">
        <v>43273</v>
      </c>
      <c r="B121" s="1">
        <f t="shared" si="4"/>
        <v>2018</v>
      </c>
      <c r="C121" s="1" t="str">
        <f t="shared" si="5"/>
        <v>Jun</v>
      </c>
      <c r="D121">
        <v>419.98001099999999</v>
      </c>
      <c r="E121">
        <v>420.5</v>
      </c>
      <c r="F121">
        <v>409.64999399999999</v>
      </c>
      <c r="G121">
        <v>411.08999599999999</v>
      </c>
      <c r="H121">
        <v>411.08999599999999</v>
      </c>
      <c r="I121">
        <f t="shared" si="6"/>
        <v>-8.8900150000000053</v>
      </c>
      <c r="J121">
        <v>10428600</v>
      </c>
      <c r="K121">
        <v>-0.18269230769230699</v>
      </c>
      <c r="L121">
        <v>-95</v>
      </c>
      <c r="M121">
        <f t="shared" si="7"/>
        <v>-2.1167709812741554E-2</v>
      </c>
      <c r="N121">
        <v>520</v>
      </c>
    </row>
    <row r="122" spans="1:14" x14ac:dyDescent="0.25">
      <c r="A122" s="1">
        <v>43276</v>
      </c>
      <c r="B122" s="1">
        <f t="shared" si="4"/>
        <v>2018</v>
      </c>
      <c r="C122" s="1" t="str">
        <f t="shared" si="5"/>
        <v>Jun</v>
      </c>
      <c r="D122">
        <v>404.69000199999999</v>
      </c>
      <c r="E122">
        <v>405.98998999999998</v>
      </c>
      <c r="F122">
        <v>378.75</v>
      </c>
      <c r="G122">
        <v>384.48001099999999</v>
      </c>
      <c r="H122">
        <v>384.48001099999999</v>
      </c>
      <c r="I122">
        <f t="shared" si="6"/>
        <v>-20.209991000000002</v>
      </c>
      <c r="J122">
        <v>22490900</v>
      </c>
      <c r="K122">
        <v>-0.12012480499219901</v>
      </c>
      <c r="L122">
        <v>-77</v>
      </c>
      <c r="M122">
        <f t="shared" si="7"/>
        <v>-4.9939437347404504E-2</v>
      </c>
      <c r="N122">
        <v>641</v>
      </c>
    </row>
    <row r="123" spans="1:14" x14ac:dyDescent="0.25">
      <c r="A123" s="1">
        <v>43277</v>
      </c>
      <c r="B123" s="1">
        <f t="shared" si="4"/>
        <v>2018</v>
      </c>
      <c r="C123" s="1" t="str">
        <f t="shared" si="5"/>
        <v>Jun</v>
      </c>
      <c r="D123">
        <v>393.27999899999998</v>
      </c>
      <c r="E123">
        <v>404.77999899999998</v>
      </c>
      <c r="F123">
        <v>389.04998799999998</v>
      </c>
      <c r="G123">
        <v>399.39001500000001</v>
      </c>
      <c r="H123">
        <v>399.39001500000001</v>
      </c>
      <c r="I123">
        <f t="shared" si="6"/>
        <v>6.1100160000000301</v>
      </c>
      <c r="J123">
        <v>15191200</v>
      </c>
      <c r="K123">
        <v>-9.4801223241590196E-2</v>
      </c>
      <c r="L123">
        <v>-62</v>
      </c>
      <c r="M123">
        <f t="shared" si="7"/>
        <v>1.5536045605004262E-2</v>
      </c>
      <c r="N123">
        <v>654</v>
      </c>
    </row>
    <row r="124" spans="1:14" x14ac:dyDescent="0.25">
      <c r="A124" s="1">
        <v>43278</v>
      </c>
      <c r="B124" s="1">
        <f t="shared" si="4"/>
        <v>2018</v>
      </c>
      <c r="C124" s="1" t="str">
        <f t="shared" si="5"/>
        <v>Jun</v>
      </c>
      <c r="D124">
        <v>407.55999800000001</v>
      </c>
      <c r="E124">
        <v>411.58999599999999</v>
      </c>
      <c r="F124">
        <v>390</v>
      </c>
      <c r="G124">
        <v>390.39001500000001</v>
      </c>
      <c r="H124">
        <v>390.39001500000001</v>
      </c>
      <c r="I124">
        <f t="shared" si="6"/>
        <v>-17.169983000000002</v>
      </c>
      <c r="J124">
        <v>16541400</v>
      </c>
      <c r="K124">
        <v>-0.13608562691131401</v>
      </c>
      <c r="L124">
        <v>-89</v>
      </c>
      <c r="M124">
        <f t="shared" si="7"/>
        <v>-4.2128724811702455E-2</v>
      </c>
      <c r="N124">
        <v>654</v>
      </c>
    </row>
    <row r="125" spans="1:14" x14ac:dyDescent="0.25">
      <c r="A125" s="1">
        <v>43279</v>
      </c>
      <c r="B125" s="1">
        <f t="shared" si="4"/>
        <v>2018</v>
      </c>
      <c r="C125" s="1" t="str">
        <f t="shared" si="5"/>
        <v>Jun</v>
      </c>
      <c r="D125">
        <v>395</v>
      </c>
      <c r="E125">
        <v>396.89999399999999</v>
      </c>
      <c r="F125">
        <v>387.10000600000001</v>
      </c>
      <c r="G125">
        <v>395.42001299999998</v>
      </c>
      <c r="H125">
        <v>395.42001299999998</v>
      </c>
      <c r="I125">
        <f t="shared" si="6"/>
        <v>0.42001299999998309</v>
      </c>
      <c r="J125">
        <v>12219900</v>
      </c>
      <c r="K125">
        <v>-0.13555555555555501</v>
      </c>
      <c r="L125">
        <v>-61</v>
      </c>
      <c r="M125">
        <f t="shared" si="7"/>
        <v>1.0633240506328686E-3</v>
      </c>
      <c r="N125">
        <v>450</v>
      </c>
    </row>
    <row r="126" spans="1:14" x14ac:dyDescent="0.25">
      <c r="A126" s="1">
        <v>43280</v>
      </c>
      <c r="B126" s="1">
        <f t="shared" si="4"/>
        <v>2018</v>
      </c>
      <c r="C126" s="1" t="str">
        <f t="shared" si="5"/>
        <v>Jun</v>
      </c>
      <c r="D126">
        <v>399.19000199999999</v>
      </c>
      <c r="E126">
        <v>401.32998700000002</v>
      </c>
      <c r="F126">
        <v>390.54998799999998</v>
      </c>
      <c r="G126">
        <v>391.42999300000002</v>
      </c>
      <c r="H126">
        <v>391.42999300000002</v>
      </c>
      <c r="I126">
        <f t="shared" si="6"/>
        <v>-7.7600089999999682</v>
      </c>
      <c r="J126">
        <v>9252500</v>
      </c>
      <c r="K126">
        <v>-0.10103626943005101</v>
      </c>
      <c r="L126">
        <v>-39</v>
      </c>
      <c r="M126">
        <f t="shared" si="7"/>
        <v>-1.9439387161805641E-2</v>
      </c>
      <c r="N126">
        <v>386</v>
      </c>
    </row>
    <row r="127" spans="1:14" x14ac:dyDescent="0.25">
      <c r="A127" s="1">
        <v>43283</v>
      </c>
      <c r="B127" s="1">
        <f t="shared" si="4"/>
        <v>2018</v>
      </c>
      <c r="C127" s="1" t="str">
        <f t="shared" si="5"/>
        <v>Jul</v>
      </c>
      <c r="D127">
        <v>385.45001200000002</v>
      </c>
      <c r="E127">
        <v>398.38000499999998</v>
      </c>
      <c r="F127">
        <v>380</v>
      </c>
      <c r="G127">
        <v>398.17999300000002</v>
      </c>
      <c r="H127">
        <v>398.17999300000002</v>
      </c>
      <c r="I127">
        <f t="shared" si="6"/>
        <v>12.729981000000009</v>
      </c>
      <c r="J127">
        <v>8142500</v>
      </c>
      <c r="K127">
        <v>-7.4666666666666603E-2</v>
      </c>
      <c r="L127">
        <v>-28</v>
      </c>
      <c r="M127">
        <f t="shared" si="7"/>
        <v>3.3026282536475854E-2</v>
      </c>
      <c r="N127">
        <v>375</v>
      </c>
    </row>
    <row r="128" spans="1:14" x14ac:dyDescent="0.25">
      <c r="A128" s="1">
        <v>43284</v>
      </c>
      <c r="B128" s="1">
        <f t="shared" si="4"/>
        <v>2018</v>
      </c>
      <c r="C128" s="1" t="str">
        <f t="shared" si="5"/>
        <v>Jul</v>
      </c>
      <c r="D128">
        <v>399.48998999999998</v>
      </c>
      <c r="E128">
        <v>399.98001099999999</v>
      </c>
      <c r="F128">
        <v>389.5</v>
      </c>
      <c r="G128">
        <v>390.51998900000001</v>
      </c>
      <c r="H128">
        <v>390.51998900000001</v>
      </c>
      <c r="I128">
        <f t="shared" si="6"/>
        <v>-8.9700009999999679</v>
      </c>
      <c r="J128">
        <v>5280300</v>
      </c>
      <c r="K128">
        <v>-4.08163265306122E-2</v>
      </c>
      <c r="L128">
        <v>-12</v>
      </c>
      <c r="M128">
        <f t="shared" si="7"/>
        <v>-2.2453631441428527E-2</v>
      </c>
      <c r="N128">
        <v>294</v>
      </c>
    </row>
    <row r="129" spans="1:14" x14ac:dyDescent="0.25">
      <c r="A129" s="1">
        <v>43286</v>
      </c>
      <c r="B129" s="1">
        <f t="shared" si="4"/>
        <v>2018</v>
      </c>
      <c r="C129" s="1" t="str">
        <f t="shared" si="5"/>
        <v>Jul</v>
      </c>
      <c r="D129">
        <v>393.79998799999998</v>
      </c>
      <c r="E129">
        <v>399.23998999999998</v>
      </c>
      <c r="F129">
        <v>390.85998499999999</v>
      </c>
      <c r="G129">
        <v>398.39001500000001</v>
      </c>
      <c r="H129">
        <v>398.39001500000001</v>
      </c>
      <c r="I129">
        <f t="shared" si="6"/>
        <v>4.5900270000000205</v>
      </c>
      <c r="J129">
        <v>8448900</v>
      </c>
      <c r="K129">
        <v>-4.3715846994535498E-2</v>
      </c>
      <c r="L129">
        <v>-16</v>
      </c>
      <c r="M129">
        <f t="shared" si="7"/>
        <v>1.1655731690880652E-2</v>
      </c>
      <c r="N129">
        <v>366</v>
      </c>
    </row>
    <row r="130" spans="1:14" x14ac:dyDescent="0.25">
      <c r="A130" s="1">
        <v>43287</v>
      </c>
      <c r="B130" s="1">
        <f t="shared" ref="B130:B193" si="8">YEAR(A130)</f>
        <v>2018</v>
      </c>
      <c r="C130" s="1" t="str">
        <f t="shared" ref="C130:C193" si="9">TEXT(A130,"mmm")</f>
        <v>Jul</v>
      </c>
      <c r="D130">
        <v>397.45001200000002</v>
      </c>
      <c r="E130">
        <v>408.64999399999999</v>
      </c>
      <c r="F130">
        <v>395.51998900000001</v>
      </c>
      <c r="G130">
        <v>408.25</v>
      </c>
      <c r="H130">
        <v>408.25</v>
      </c>
      <c r="I130">
        <f t="shared" ref="I130:I193" si="10">G130-D130</f>
        <v>10.799987999999985</v>
      </c>
      <c r="J130">
        <v>8629600</v>
      </c>
      <c r="K130">
        <v>3.1602708803611698E-2</v>
      </c>
      <c r="L130">
        <v>14</v>
      </c>
      <c r="M130">
        <f t="shared" ref="M130:M193" si="11">(G130-D130)/D130</f>
        <v>2.7173198324120278E-2</v>
      </c>
      <c r="N130">
        <v>443</v>
      </c>
    </row>
    <row r="131" spans="1:14" x14ac:dyDescent="0.25">
      <c r="A131" s="1">
        <v>43290</v>
      </c>
      <c r="B131" s="1">
        <f t="shared" si="8"/>
        <v>2018</v>
      </c>
      <c r="C131" s="1" t="str">
        <f t="shared" si="9"/>
        <v>Jul</v>
      </c>
      <c r="D131">
        <v>415.95001200000002</v>
      </c>
      <c r="E131">
        <v>419.11999500000002</v>
      </c>
      <c r="F131">
        <v>411.10000600000001</v>
      </c>
      <c r="G131">
        <v>418.97000100000002</v>
      </c>
      <c r="H131">
        <v>418.97000100000002</v>
      </c>
      <c r="I131">
        <f t="shared" si="10"/>
        <v>3.0199890000000096</v>
      </c>
      <c r="J131">
        <v>11127500</v>
      </c>
      <c r="K131">
        <v>-2.3255813953488299E-2</v>
      </c>
      <c r="L131">
        <v>-11</v>
      </c>
      <c r="M131">
        <f t="shared" si="11"/>
        <v>7.2604613844800409E-3</v>
      </c>
      <c r="N131">
        <v>473</v>
      </c>
    </row>
    <row r="132" spans="1:14" x14ac:dyDescent="0.25">
      <c r="A132" s="1">
        <v>43291</v>
      </c>
      <c r="B132" s="1">
        <f t="shared" si="8"/>
        <v>2018</v>
      </c>
      <c r="C132" s="1" t="str">
        <f t="shared" si="9"/>
        <v>Jul</v>
      </c>
      <c r="D132">
        <v>417.23998999999998</v>
      </c>
      <c r="E132">
        <v>419.44000199999999</v>
      </c>
      <c r="F132">
        <v>413.07998700000002</v>
      </c>
      <c r="G132">
        <v>415.63000499999998</v>
      </c>
      <c r="H132">
        <v>415.63000499999998</v>
      </c>
      <c r="I132">
        <f t="shared" si="10"/>
        <v>-1.6099849999999947</v>
      </c>
      <c r="J132">
        <v>9382900</v>
      </c>
      <c r="K132">
        <v>-5.44554455445544E-2</v>
      </c>
      <c r="L132">
        <v>-22</v>
      </c>
      <c r="M132">
        <f t="shared" si="11"/>
        <v>-3.8586545839002506E-3</v>
      </c>
      <c r="N132">
        <v>404</v>
      </c>
    </row>
    <row r="133" spans="1:14" x14ac:dyDescent="0.25">
      <c r="A133" s="1">
        <v>43292</v>
      </c>
      <c r="B133" s="1">
        <f t="shared" si="8"/>
        <v>2018</v>
      </c>
      <c r="C133" s="1" t="str">
        <f t="shared" si="9"/>
        <v>Jul</v>
      </c>
      <c r="D133">
        <v>411.33999599999999</v>
      </c>
      <c r="E133">
        <v>419.76998900000001</v>
      </c>
      <c r="F133">
        <v>410.60000600000001</v>
      </c>
      <c r="G133">
        <v>418.64999399999999</v>
      </c>
      <c r="H133">
        <v>418.64999399999999</v>
      </c>
      <c r="I133">
        <f t="shared" si="10"/>
        <v>7.3099980000000073</v>
      </c>
      <c r="J133">
        <v>9713900</v>
      </c>
      <c r="K133">
        <v>-7.8512396694214795E-2</v>
      </c>
      <c r="L133">
        <v>-38</v>
      </c>
      <c r="M133">
        <f t="shared" si="11"/>
        <v>1.7771182163380018E-2</v>
      </c>
      <c r="N133">
        <v>484</v>
      </c>
    </row>
    <row r="134" spans="1:14" x14ac:dyDescent="0.25">
      <c r="A134" s="1">
        <v>43293</v>
      </c>
      <c r="B134" s="1">
        <f t="shared" si="8"/>
        <v>2018</v>
      </c>
      <c r="C134" s="1" t="str">
        <f t="shared" si="9"/>
        <v>Jul</v>
      </c>
      <c r="D134">
        <v>415.16000400000001</v>
      </c>
      <c r="E134">
        <v>416.790009</v>
      </c>
      <c r="F134">
        <v>407.79998799999998</v>
      </c>
      <c r="G134">
        <v>413.5</v>
      </c>
      <c r="H134">
        <v>413.5</v>
      </c>
      <c r="I134">
        <f t="shared" si="10"/>
        <v>-1.6600040000000149</v>
      </c>
      <c r="J134">
        <v>12743300</v>
      </c>
      <c r="K134">
        <v>-7.1999999999999995E-2</v>
      </c>
      <c r="L134">
        <v>-45</v>
      </c>
      <c r="M134">
        <f t="shared" si="11"/>
        <v>-3.9984680219822301E-3</v>
      </c>
      <c r="N134">
        <v>625</v>
      </c>
    </row>
    <row r="135" spans="1:14" x14ac:dyDescent="0.25">
      <c r="A135" s="1">
        <v>43294</v>
      </c>
      <c r="B135" s="1">
        <f t="shared" si="8"/>
        <v>2018</v>
      </c>
      <c r="C135" s="1" t="str">
        <f t="shared" si="9"/>
        <v>Jul</v>
      </c>
      <c r="D135">
        <v>409.19000199999999</v>
      </c>
      <c r="E135">
        <v>410</v>
      </c>
      <c r="F135">
        <v>395.07998700000002</v>
      </c>
      <c r="G135">
        <v>395.79998799999998</v>
      </c>
      <c r="H135">
        <v>395.79998799999998</v>
      </c>
      <c r="I135">
        <f t="shared" si="10"/>
        <v>-13.390014000000008</v>
      </c>
      <c r="J135">
        <v>15719000</v>
      </c>
      <c r="K135">
        <v>-0.14164305949008499</v>
      </c>
      <c r="L135">
        <v>-100</v>
      </c>
      <c r="M135">
        <f t="shared" si="11"/>
        <v>-3.2723218882557172E-2</v>
      </c>
      <c r="N135">
        <v>706</v>
      </c>
    </row>
    <row r="136" spans="1:14" x14ac:dyDescent="0.25">
      <c r="A136" s="1">
        <v>43297</v>
      </c>
      <c r="B136" s="1">
        <f t="shared" si="8"/>
        <v>2018</v>
      </c>
      <c r="C136" s="1" t="str">
        <f t="shared" si="9"/>
        <v>Jul</v>
      </c>
      <c r="D136">
        <v>398.98001099999999</v>
      </c>
      <c r="E136">
        <v>403.35998499999999</v>
      </c>
      <c r="F136">
        <v>391.75</v>
      </c>
      <c r="G136">
        <v>400.48001099999999</v>
      </c>
      <c r="H136">
        <v>400.48001099999999</v>
      </c>
      <c r="I136">
        <f t="shared" si="10"/>
        <v>1.5</v>
      </c>
      <c r="J136">
        <v>22960000</v>
      </c>
      <c r="K136">
        <v>-0.15359871330920699</v>
      </c>
      <c r="L136">
        <v>-382</v>
      </c>
      <c r="M136">
        <f t="shared" si="11"/>
        <v>3.7595868430611678E-3</v>
      </c>
      <c r="N136">
        <v>2487</v>
      </c>
    </row>
    <row r="137" spans="1:14" x14ac:dyDescent="0.25">
      <c r="A137" s="1">
        <v>43298</v>
      </c>
      <c r="B137" s="1">
        <f t="shared" si="8"/>
        <v>2018</v>
      </c>
      <c r="C137" s="1" t="str">
        <f t="shared" si="9"/>
        <v>Jul</v>
      </c>
      <c r="D137">
        <v>346.95001200000002</v>
      </c>
      <c r="E137">
        <v>385</v>
      </c>
      <c r="F137">
        <v>344</v>
      </c>
      <c r="G137">
        <v>379.48001099999999</v>
      </c>
      <c r="H137">
        <v>379.48001099999999</v>
      </c>
      <c r="I137">
        <f t="shared" si="10"/>
        <v>32.529998999999975</v>
      </c>
      <c r="J137">
        <v>58410400</v>
      </c>
      <c r="K137">
        <v>-0.110558123000355</v>
      </c>
      <c r="L137">
        <v>-311</v>
      </c>
      <c r="M137">
        <f t="shared" si="11"/>
        <v>9.3759901642545482E-2</v>
      </c>
      <c r="N137">
        <v>2813</v>
      </c>
    </row>
    <row r="138" spans="1:14" x14ac:dyDescent="0.25">
      <c r="A138" s="1">
        <v>43299</v>
      </c>
      <c r="B138" s="1">
        <f t="shared" si="8"/>
        <v>2018</v>
      </c>
      <c r="C138" s="1" t="str">
        <f t="shared" si="9"/>
        <v>Jul</v>
      </c>
      <c r="D138">
        <v>381.23998999999998</v>
      </c>
      <c r="E138">
        <v>383.13000499999998</v>
      </c>
      <c r="F138">
        <v>372.35998499999999</v>
      </c>
      <c r="G138">
        <v>375.13000499999998</v>
      </c>
      <c r="H138">
        <v>375.13000499999998</v>
      </c>
      <c r="I138">
        <f t="shared" si="10"/>
        <v>-6.1099849999999947</v>
      </c>
      <c r="J138">
        <v>21746300</v>
      </c>
      <c r="K138">
        <v>-5.0847457627118599E-2</v>
      </c>
      <c r="L138">
        <v>-39</v>
      </c>
      <c r="M138">
        <f t="shared" si="11"/>
        <v>-1.6026610954427933E-2</v>
      </c>
      <c r="N138">
        <v>767</v>
      </c>
    </row>
    <row r="139" spans="1:14" x14ac:dyDescent="0.25">
      <c r="A139" s="1">
        <v>43300</v>
      </c>
      <c r="B139" s="1">
        <f t="shared" si="8"/>
        <v>2018</v>
      </c>
      <c r="C139" s="1" t="str">
        <f t="shared" si="9"/>
        <v>Jul</v>
      </c>
      <c r="D139">
        <v>371.05999800000001</v>
      </c>
      <c r="E139">
        <v>375.75</v>
      </c>
      <c r="F139">
        <v>363</v>
      </c>
      <c r="G139">
        <v>364.23001099999999</v>
      </c>
      <c r="H139">
        <v>364.23001099999999</v>
      </c>
      <c r="I139">
        <f t="shared" si="10"/>
        <v>-6.8299870000000169</v>
      </c>
      <c r="J139">
        <v>16878700</v>
      </c>
      <c r="K139">
        <v>-0.11713030746705699</v>
      </c>
      <c r="L139">
        <v>-80</v>
      </c>
      <c r="M139">
        <f t="shared" si="11"/>
        <v>-1.8406691739377461E-2</v>
      </c>
      <c r="N139">
        <v>683</v>
      </c>
    </row>
    <row r="140" spans="1:14" x14ac:dyDescent="0.25">
      <c r="A140" s="1">
        <v>43301</v>
      </c>
      <c r="B140" s="1">
        <f t="shared" si="8"/>
        <v>2018</v>
      </c>
      <c r="C140" s="1" t="str">
        <f t="shared" si="9"/>
        <v>Jul</v>
      </c>
      <c r="D140">
        <v>364.92001299999998</v>
      </c>
      <c r="E140">
        <v>370.5</v>
      </c>
      <c r="F140">
        <v>360.14001500000001</v>
      </c>
      <c r="G140">
        <v>361.04998799999998</v>
      </c>
      <c r="H140">
        <v>361.04998799999998</v>
      </c>
      <c r="I140">
        <f t="shared" si="10"/>
        <v>-3.8700249999999983</v>
      </c>
      <c r="J140">
        <v>15096700</v>
      </c>
      <c r="K140">
        <v>-9.5652173913043398E-2</v>
      </c>
      <c r="L140">
        <v>-55</v>
      </c>
      <c r="M140">
        <f t="shared" si="11"/>
        <v>-1.0605132254009863E-2</v>
      </c>
      <c r="N140">
        <v>575</v>
      </c>
    </row>
    <row r="141" spans="1:14" x14ac:dyDescent="0.25">
      <c r="A141" s="1">
        <v>43304</v>
      </c>
      <c r="B141" s="1">
        <f t="shared" si="8"/>
        <v>2018</v>
      </c>
      <c r="C141" s="1" t="str">
        <f t="shared" si="9"/>
        <v>Jul</v>
      </c>
      <c r="D141">
        <v>359.14999399999999</v>
      </c>
      <c r="E141">
        <v>363.89999399999999</v>
      </c>
      <c r="F141">
        <v>353.60000600000001</v>
      </c>
      <c r="G141">
        <v>362.66000400000001</v>
      </c>
      <c r="H141">
        <v>362.66000400000001</v>
      </c>
      <c r="I141">
        <f t="shared" si="10"/>
        <v>3.5100100000000225</v>
      </c>
      <c r="J141">
        <v>11505200</v>
      </c>
      <c r="K141">
        <v>-4.4585987261146397E-2</v>
      </c>
      <c r="L141">
        <v>-21</v>
      </c>
      <c r="M141">
        <f t="shared" si="11"/>
        <v>9.7731033235100729E-3</v>
      </c>
      <c r="N141">
        <v>471</v>
      </c>
    </row>
    <row r="142" spans="1:14" x14ac:dyDescent="0.25">
      <c r="A142" s="1">
        <v>43305</v>
      </c>
      <c r="B142" s="1">
        <f t="shared" si="8"/>
        <v>2018</v>
      </c>
      <c r="C142" s="1" t="str">
        <f t="shared" si="9"/>
        <v>Jul</v>
      </c>
      <c r="D142">
        <v>366.94000199999999</v>
      </c>
      <c r="E142">
        <v>367.39999399999999</v>
      </c>
      <c r="F142">
        <v>354.55999800000001</v>
      </c>
      <c r="G142">
        <v>357.32000699999998</v>
      </c>
      <c r="H142">
        <v>357.32000699999998</v>
      </c>
      <c r="I142">
        <f t="shared" si="10"/>
        <v>-9.6199950000000172</v>
      </c>
      <c r="J142">
        <v>12851500</v>
      </c>
      <c r="K142">
        <v>-0.11874999999999999</v>
      </c>
      <c r="L142">
        <v>-57</v>
      </c>
      <c r="M142">
        <f t="shared" si="11"/>
        <v>-2.6216806419486576E-2</v>
      </c>
      <c r="N142">
        <v>480</v>
      </c>
    </row>
    <row r="143" spans="1:14" x14ac:dyDescent="0.25">
      <c r="A143" s="1">
        <v>43306</v>
      </c>
      <c r="B143" s="1">
        <f t="shared" si="8"/>
        <v>2018</v>
      </c>
      <c r="C143" s="1" t="str">
        <f t="shared" si="9"/>
        <v>Jul</v>
      </c>
      <c r="D143">
        <v>357.57000699999998</v>
      </c>
      <c r="E143">
        <v>363.27999899999998</v>
      </c>
      <c r="F143">
        <v>355.64999399999999</v>
      </c>
      <c r="G143">
        <v>362.86999500000002</v>
      </c>
      <c r="H143">
        <v>362.86999500000002</v>
      </c>
      <c r="I143">
        <f t="shared" si="10"/>
        <v>5.2999880000000417</v>
      </c>
      <c r="J143">
        <v>8467800</v>
      </c>
      <c r="K143">
        <v>-8.3333333333333301E-2</v>
      </c>
      <c r="L143">
        <v>-43</v>
      </c>
      <c r="M143">
        <f t="shared" si="11"/>
        <v>1.4822238711984705E-2</v>
      </c>
      <c r="N143">
        <v>516</v>
      </c>
    </row>
    <row r="144" spans="1:14" x14ac:dyDescent="0.25">
      <c r="A144" s="1">
        <v>43307</v>
      </c>
      <c r="B144" s="1">
        <f t="shared" si="8"/>
        <v>2018</v>
      </c>
      <c r="C144" s="1" t="str">
        <f t="shared" si="9"/>
        <v>Jul</v>
      </c>
      <c r="D144">
        <v>358.19000199999999</v>
      </c>
      <c r="E144">
        <v>365.540009</v>
      </c>
      <c r="F144">
        <v>356.63000499999998</v>
      </c>
      <c r="G144">
        <v>363.08999599999999</v>
      </c>
      <c r="H144">
        <v>363.08999599999999</v>
      </c>
      <c r="I144">
        <f t="shared" si="10"/>
        <v>4.8999939999999924</v>
      </c>
      <c r="J144">
        <v>6993700</v>
      </c>
      <c r="K144">
        <v>-0.108514190317195</v>
      </c>
      <c r="L144">
        <v>-65</v>
      </c>
      <c r="M144">
        <f t="shared" si="11"/>
        <v>1.3679873733605755E-2</v>
      </c>
      <c r="N144">
        <v>599</v>
      </c>
    </row>
    <row r="145" spans="1:14" x14ac:dyDescent="0.25">
      <c r="A145" s="1">
        <v>43308</v>
      </c>
      <c r="B145" s="1">
        <f t="shared" si="8"/>
        <v>2018</v>
      </c>
      <c r="C145" s="1" t="str">
        <f t="shared" si="9"/>
        <v>Jul</v>
      </c>
      <c r="D145">
        <v>366.85000600000001</v>
      </c>
      <c r="E145">
        <v>367</v>
      </c>
      <c r="F145">
        <v>351.64999399999999</v>
      </c>
      <c r="G145">
        <v>355.209991</v>
      </c>
      <c r="H145">
        <v>355.209991</v>
      </c>
      <c r="I145">
        <f t="shared" si="10"/>
        <v>-11.640015000000005</v>
      </c>
      <c r="J145">
        <v>8949500</v>
      </c>
      <c r="K145">
        <v>-0.10328638497652499</v>
      </c>
      <c r="L145">
        <v>-44</v>
      </c>
      <c r="M145">
        <f t="shared" si="11"/>
        <v>-3.1729630120273203E-2</v>
      </c>
      <c r="N145">
        <v>426</v>
      </c>
    </row>
    <row r="146" spans="1:14" x14ac:dyDescent="0.25">
      <c r="A146" s="1">
        <v>43311</v>
      </c>
      <c r="B146" s="1">
        <f t="shared" si="8"/>
        <v>2018</v>
      </c>
      <c r="C146" s="1" t="str">
        <f t="shared" si="9"/>
        <v>Jul</v>
      </c>
      <c r="D146">
        <v>351.92999300000002</v>
      </c>
      <c r="E146">
        <v>352.02999899999998</v>
      </c>
      <c r="F146">
        <v>334.01998900000001</v>
      </c>
      <c r="G146">
        <v>334.959991</v>
      </c>
      <c r="H146">
        <v>334.959991</v>
      </c>
      <c r="I146">
        <f t="shared" si="10"/>
        <v>-16.970002000000022</v>
      </c>
      <c r="J146">
        <v>18260700</v>
      </c>
      <c r="K146">
        <v>-0.12557427258805501</v>
      </c>
      <c r="L146">
        <v>-82</v>
      </c>
      <c r="M146">
        <f t="shared" si="11"/>
        <v>-4.8219823082825512E-2</v>
      </c>
      <c r="N146">
        <v>653</v>
      </c>
    </row>
    <row r="147" spans="1:14" x14ac:dyDescent="0.25">
      <c r="A147" s="1">
        <v>43312</v>
      </c>
      <c r="B147" s="1">
        <f t="shared" si="8"/>
        <v>2018</v>
      </c>
      <c r="C147" s="1" t="str">
        <f t="shared" si="9"/>
        <v>Jul</v>
      </c>
      <c r="D147">
        <v>331.51001000000002</v>
      </c>
      <c r="E147">
        <v>342.5</v>
      </c>
      <c r="F147">
        <v>328</v>
      </c>
      <c r="G147">
        <v>337.45001200000002</v>
      </c>
      <c r="H147">
        <v>337.45001200000002</v>
      </c>
      <c r="I147">
        <f t="shared" si="10"/>
        <v>5.9400019999999927</v>
      </c>
      <c r="J147">
        <v>14085400</v>
      </c>
      <c r="K147">
        <v>-9.1451292246520793E-2</v>
      </c>
      <c r="L147">
        <v>-46</v>
      </c>
      <c r="M147">
        <f t="shared" si="11"/>
        <v>1.791801701553444E-2</v>
      </c>
      <c r="N147">
        <v>503</v>
      </c>
    </row>
    <row r="148" spans="1:14" x14ac:dyDescent="0.25">
      <c r="A148" s="1">
        <v>43313</v>
      </c>
      <c r="B148" s="1">
        <f t="shared" si="8"/>
        <v>2018</v>
      </c>
      <c r="C148" s="1" t="str">
        <f t="shared" si="9"/>
        <v>Aug</v>
      </c>
      <c r="D148">
        <v>335.86999500000002</v>
      </c>
      <c r="E148">
        <v>344.41000400000001</v>
      </c>
      <c r="F148">
        <v>334.01998900000001</v>
      </c>
      <c r="G148">
        <v>338.38000499999998</v>
      </c>
      <c r="H148">
        <v>338.38000499999998</v>
      </c>
      <c r="I148">
        <f t="shared" si="10"/>
        <v>2.5100099999999657</v>
      </c>
      <c r="J148">
        <v>7790500</v>
      </c>
      <c r="K148">
        <v>-7.2916666666666602E-2</v>
      </c>
      <c r="L148">
        <v>-21</v>
      </c>
      <c r="M148">
        <f t="shared" si="11"/>
        <v>7.4731593692969377E-3</v>
      </c>
      <c r="N148">
        <v>288</v>
      </c>
    </row>
    <row r="149" spans="1:14" x14ac:dyDescent="0.25">
      <c r="A149" s="1">
        <v>43314</v>
      </c>
      <c r="B149" s="1">
        <f t="shared" si="8"/>
        <v>2018</v>
      </c>
      <c r="C149" s="1" t="str">
        <f t="shared" si="9"/>
        <v>Aug</v>
      </c>
      <c r="D149">
        <v>337.23001099999999</v>
      </c>
      <c r="E149">
        <v>345</v>
      </c>
      <c r="F149">
        <v>334.709991</v>
      </c>
      <c r="G149">
        <v>344.5</v>
      </c>
      <c r="H149">
        <v>344.5</v>
      </c>
      <c r="I149">
        <f t="shared" si="10"/>
        <v>7.2699890000000096</v>
      </c>
      <c r="J149">
        <v>7131300</v>
      </c>
      <c r="K149">
        <v>-2.7108433734939701E-2</v>
      </c>
      <c r="L149">
        <v>-9</v>
      </c>
      <c r="M149">
        <f t="shared" si="11"/>
        <v>2.1557953808565424E-2</v>
      </c>
      <c r="N149">
        <v>332</v>
      </c>
    </row>
    <row r="150" spans="1:14" x14ac:dyDescent="0.25">
      <c r="A150" s="1">
        <v>43315</v>
      </c>
      <c r="B150" s="1">
        <f t="shared" si="8"/>
        <v>2018</v>
      </c>
      <c r="C150" s="1" t="str">
        <f t="shared" si="9"/>
        <v>Aug</v>
      </c>
      <c r="D150">
        <v>347.75</v>
      </c>
      <c r="E150">
        <v>347.85998499999999</v>
      </c>
      <c r="F150">
        <v>338.48001099999999</v>
      </c>
      <c r="G150">
        <v>343.08999599999999</v>
      </c>
      <c r="H150">
        <v>343.08999599999999</v>
      </c>
      <c r="I150">
        <f t="shared" si="10"/>
        <v>-4.6600040000000149</v>
      </c>
      <c r="J150">
        <v>8848400</v>
      </c>
      <c r="K150">
        <v>-0.124600638977635</v>
      </c>
      <c r="L150">
        <v>-39</v>
      </c>
      <c r="M150">
        <f t="shared" si="11"/>
        <v>-1.3400442846872796E-2</v>
      </c>
      <c r="N150">
        <v>313</v>
      </c>
    </row>
    <row r="151" spans="1:14" x14ac:dyDescent="0.25">
      <c r="A151" s="1">
        <v>43318</v>
      </c>
      <c r="B151" s="1">
        <f t="shared" si="8"/>
        <v>2018</v>
      </c>
      <c r="C151" s="1" t="str">
        <f t="shared" si="9"/>
        <v>Aug</v>
      </c>
      <c r="D151">
        <v>342.86999500000002</v>
      </c>
      <c r="E151">
        <v>351.98001099999999</v>
      </c>
      <c r="F151">
        <v>341.73998999999998</v>
      </c>
      <c r="G151">
        <v>350.92001299999998</v>
      </c>
      <c r="H151">
        <v>350.92001299999998</v>
      </c>
      <c r="I151">
        <f t="shared" si="10"/>
        <v>8.0500179999999659</v>
      </c>
      <c r="J151">
        <v>8198100</v>
      </c>
      <c r="K151">
        <v>3.1847133757961E-3</v>
      </c>
      <c r="L151">
        <v>1</v>
      </c>
      <c r="M151">
        <f t="shared" si="11"/>
        <v>2.3478339071343834E-2</v>
      </c>
      <c r="N151">
        <v>314</v>
      </c>
    </row>
    <row r="152" spans="1:14" x14ac:dyDescent="0.25">
      <c r="A152" s="1">
        <v>43319</v>
      </c>
      <c r="B152" s="1">
        <f t="shared" si="8"/>
        <v>2018</v>
      </c>
      <c r="C152" s="1" t="str">
        <f t="shared" si="9"/>
        <v>Aug</v>
      </c>
      <c r="D152">
        <v>353.23001099999999</v>
      </c>
      <c r="E152">
        <v>357.30999800000001</v>
      </c>
      <c r="F152">
        <v>349.01001000000002</v>
      </c>
      <c r="G152">
        <v>351.82998700000002</v>
      </c>
      <c r="H152">
        <v>351.82998700000002</v>
      </c>
      <c r="I152">
        <f t="shared" si="10"/>
        <v>-1.4000239999999735</v>
      </c>
      <c r="J152">
        <v>7970900</v>
      </c>
      <c r="K152">
        <v>-2.3936170212765898E-2</v>
      </c>
      <c r="L152">
        <v>-9</v>
      </c>
      <c r="M152">
        <f t="shared" si="11"/>
        <v>-3.9634910862655255E-3</v>
      </c>
      <c r="N152">
        <v>376</v>
      </c>
    </row>
    <row r="153" spans="1:14" x14ac:dyDescent="0.25">
      <c r="A153" s="1">
        <v>43320</v>
      </c>
      <c r="B153" s="1">
        <f t="shared" si="8"/>
        <v>2018</v>
      </c>
      <c r="C153" s="1" t="str">
        <f t="shared" si="9"/>
        <v>Aug</v>
      </c>
      <c r="D153">
        <v>352.209991</v>
      </c>
      <c r="E153">
        <v>352.290009</v>
      </c>
      <c r="F153">
        <v>346.60998499999999</v>
      </c>
      <c r="G153">
        <v>347.60998499999999</v>
      </c>
      <c r="H153">
        <v>347.60998499999999</v>
      </c>
      <c r="I153">
        <f t="shared" si="10"/>
        <v>-4.6000060000000076</v>
      </c>
      <c r="J153">
        <v>5394700</v>
      </c>
      <c r="K153">
        <v>-9.4915254237288096E-2</v>
      </c>
      <c r="L153">
        <v>-28</v>
      </c>
      <c r="M153">
        <f t="shared" si="11"/>
        <v>-1.3060407477197339E-2</v>
      </c>
      <c r="N153">
        <v>295</v>
      </c>
    </row>
    <row r="154" spans="1:14" x14ac:dyDescent="0.25">
      <c r="A154" s="1">
        <v>43321</v>
      </c>
      <c r="B154" s="1">
        <f t="shared" si="8"/>
        <v>2018</v>
      </c>
      <c r="C154" s="1" t="str">
        <f t="shared" si="9"/>
        <v>Aug</v>
      </c>
      <c r="D154">
        <v>347.959991</v>
      </c>
      <c r="E154">
        <v>352.44000199999999</v>
      </c>
      <c r="F154">
        <v>345.82000699999998</v>
      </c>
      <c r="G154">
        <v>349.35998499999999</v>
      </c>
      <c r="H154">
        <v>349.35998499999999</v>
      </c>
      <c r="I154">
        <f t="shared" si="10"/>
        <v>1.3999939999999924</v>
      </c>
      <c r="J154">
        <v>4820300</v>
      </c>
      <c r="K154">
        <v>-7.8125E-3</v>
      </c>
      <c r="L154">
        <v>-2</v>
      </c>
      <c r="M154">
        <f t="shared" si="11"/>
        <v>4.0234338320809778E-3</v>
      </c>
      <c r="N154">
        <v>256</v>
      </c>
    </row>
    <row r="155" spans="1:14" x14ac:dyDescent="0.25">
      <c r="A155" s="1">
        <v>43322</v>
      </c>
      <c r="B155" s="1">
        <f t="shared" si="8"/>
        <v>2018</v>
      </c>
      <c r="C155" s="1" t="str">
        <f t="shared" si="9"/>
        <v>Aug</v>
      </c>
      <c r="D155">
        <v>346.91000400000001</v>
      </c>
      <c r="E155">
        <v>349.10000600000001</v>
      </c>
      <c r="F155">
        <v>344.42001299999998</v>
      </c>
      <c r="G155">
        <v>345.86999500000002</v>
      </c>
      <c r="H155">
        <v>345.86999500000002</v>
      </c>
      <c r="I155">
        <f t="shared" si="10"/>
        <v>-1.0400089999999977</v>
      </c>
      <c r="J155">
        <v>4328400</v>
      </c>
      <c r="K155">
        <v>-5.94594594594594E-2</v>
      </c>
      <c r="L155">
        <v>-11</v>
      </c>
      <c r="M155">
        <f t="shared" si="11"/>
        <v>-2.9979216165815664E-3</v>
      </c>
      <c r="N155">
        <v>185</v>
      </c>
    </row>
    <row r="156" spans="1:14" x14ac:dyDescent="0.25">
      <c r="A156" s="1">
        <v>43325</v>
      </c>
      <c r="B156" s="1">
        <f t="shared" si="8"/>
        <v>2018</v>
      </c>
      <c r="C156" s="1" t="str">
        <f t="shared" si="9"/>
        <v>Aug</v>
      </c>
      <c r="D156">
        <v>339.89001500000001</v>
      </c>
      <c r="E156">
        <v>347.19000199999999</v>
      </c>
      <c r="F156">
        <v>339.07000699999998</v>
      </c>
      <c r="G156">
        <v>341.30999800000001</v>
      </c>
      <c r="H156">
        <v>341.30999800000001</v>
      </c>
      <c r="I156">
        <f t="shared" si="10"/>
        <v>1.419983000000002</v>
      </c>
      <c r="J156">
        <v>6888900</v>
      </c>
      <c r="K156">
        <v>-6.7226890756302504E-2</v>
      </c>
      <c r="L156">
        <v>-24</v>
      </c>
      <c r="M156">
        <f t="shared" si="11"/>
        <v>4.1777720360511384E-3</v>
      </c>
      <c r="N156">
        <v>357</v>
      </c>
    </row>
    <row r="157" spans="1:14" x14ac:dyDescent="0.25">
      <c r="A157" s="1">
        <v>43326</v>
      </c>
      <c r="B157" s="1">
        <f t="shared" si="8"/>
        <v>2018</v>
      </c>
      <c r="C157" s="1" t="str">
        <f t="shared" si="9"/>
        <v>Aug</v>
      </c>
      <c r="D157">
        <v>342.08999599999999</v>
      </c>
      <c r="E157">
        <v>342.41000400000001</v>
      </c>
      <c r="F157">
        <v>336.25</v>
      </c>
      <c r="G157">
        <v>337.48998999999998</v>
      </c>
      <c r="H157">
        <v>337.48998999999998</v>
      </c>
      <c r="I157">
        <f t="shared" si="10"/>
        <v>-4.6000060000000076</v>
      </c>
      <c r="J157">
        <v>5805200</v>
      </c>
      <c r="K157">
        <v>-0.116207951070336</v>
      </c>
      <c r="L157">
        <v>-38</v>
      </c>
      <c r="M157">
        <f t="shared" si="11"/>
        <v>-1.3446771474720377E-2</v>
      </c>
      <c r="N157">
        <v>327</v>
      </c>
    </row>
    <row r="158" spans="1:14" x14ac:dyDescent="0.25">
      <c r="A158" s="1">
        <v>43327</v>
      </c>
      <c r="B158" s="1">
        <f t="shared" si="8"/>
        <v>2018</v>
      </c>
      <c r="C158" s="1" t="str">
        <f t="shared" si="9"/>
        <v>Aug</v>
      </c>
      <c r="D158">
        <v>334.02999899999998</v>
      </c>
      <c r="E158">
        <v>335.5</v>
      </c>
      <c r="F158">
        <v>321</v>
      </c>
      <c r="G158">
        <v>326.39999399999999</v>
      </c>
      <c r="H158">
        <v>326.39999399999999</v>
      </c>
      <c r="I158">
        <f t="shared" si="10"/>
        <v>-7.6300049999999828</v>
      </c>
      <c r="J158">
        <v>11784500</v>
      </c>
      <c r="K158">
        <v>-0.12533333333333299</v>
      </c>
      <c r="L158">
        <v>-47</v>
      </c>
      <c r="M158">
        <f t="shared" si="11"/>
        <v>-2.2842274714373733E-2</v>
      </c>
      <c r="N158">
        <v>375</v>
      </c>
    </row>
    <row r="159" spans="1:14" x14ac:dyDescent="0.25">
      <c r="A159" s="1">
        <v>43328</v>
      </c>
      <c r="B159" s="1">
        <f t="shared" si="8"/>
        <v>2018</v>
      </c>
      <c r="C159" s="1" t="str">
        <f t="shared" si="9"/>
        <v>Aug</v>
      </c>
      <c r="D159">
        <v>329.89999399999999</v>
      </c>
      <c r="E159">
        <v>331.17001299999998</v>
      </c>
      <c r="F159">
        <v>321.209991</v>
      </c>
      <c r="G159">
        <v>322.44000199999999</v>
      </c>
      <c r="H159">
        <v>322.44000199999999</v>
      </c>
      <c r="I159">
        <f t="shared" si="10"/>
        <v>-7.4599919999999997</v>
      </c>
      <c r="J159">
        <v>6689700</v>
      </c>
      <c r="K159">
        <v>-0.116352201257861</v>
      </c>
      <c r="L159">
        <v>-37</v>
      </c>
      <c r="M159">
        <f t="shared" si="11"/>
        <v>-2.2612889165435995E-2</v>
      </c>
      <c r="N159">
        <v>318</v>
      </c>
    </row>
    <row r="160" spans="1:14" x14ac:dyDescent="0.25">
      <c r="A160" s="1">
        <v>43329</v>
      </c>
      <c r="B160" s="1">
        <f t="shared" si="8"/>
        <v>2018</v>
      </c>
      <c r="C160" s="1" t="str">
        <f t="shared" si="9"/>
        <v>Aug</v>
      </c>
      <c r="D160">
        <v>319.01001000000002</v>
      </c>
      <c r="E160">
        <v>324.36999500000002</v>
      </c>
      <c r="F160">
        <v>312.959991</v>
      </c>
      <c r="G160">
        <v>316.77999899999998</v>
      </c>
      <c r="H160">
        <v>316.77999899999998</v>
      </c>
      <c r="I160">
        <f t="shared" si="10"/>
        <v>-2.2300110000000473</v>
      </c>
      <c r="J160">
        <v>10407900</v>
      </c>
      <c r="K160">
        <v>-0.15291262135922301</v>
      </c>
      <c r="L160">
        <v>-63</v>
      </c>
      <c r="M160">
        <f t="shared" si="11"/>
        <v>-6.9904107397759938E-3</v>
      </c>
      <c r="N160">
        <v>412</v>
      </c>
    </row>
    <row r="161" spans="1:14" x14ac:dyDescent="0.25">
      <c r="A161" s="1">
        <v>43332</v>
      </c>
      <c r="B161" s="1">
        <f t="shared" si="8"/>
        <v>2018</v>
      </c>
      <c r="C161" s="1" t="str">
        <f t="shared" si="9"/>
        <v>Aug</v>
      </c>
      <c r="D161">
        <v>314.64001500000001</v>
      </c>
      <c r="E161">
        <v>331.60000600000001</v>
      </c>
      <c r="F161">
        <v>310.92999300000002</v>
      </c>
      <c r="G161">
        <v>327.73001099999999</v>
      </c>
      <c r="H161">
        <v>327.73001099999999</v>
      </c>
      <c r="I161">
        <f t="shared" si="10"/>
        <v>13.089995999999985</v>
      </c>
      <c r="J161">
        <v>13591100</v>
      </c>
      <c r="K161">
        <v>-1.9637462235649501E-2</v>
      </c>
      <c r="L161">
        <v>-13</v>
      </c>
      <c r="M161">
        <f t="shared" si="11"/>
        <v>4.1603087261485115E-2</v>
      </c>
      <c r="N161">
        <v>662</v>
      </c>
    </row>
    <row r="162" spans="1:14" x14ac:dyDescent="0.25">
      <c r="A162" s="1">
        <v>43333</v>
      </c>
      <c r="B162" s="1">
        <f t="shared" si="8"/>
        <v>2018</v>
      </c>
      <c r="C162" s="1" t="str">
        <f t="shared" si="9"/>
        <v>Aug</v>
      </c>
      <c r="D162">
        <v>331</v>
      </c>
      <c r="E162">
        <v>341.5</v>
      </c>
      <c r="F162">
        <v>329.70001200000002</v>
      </c>
      <c r="G162">
        <v>338.01998900000001</v>
      </c>
      <c r="H162">
        <v>338.01998900000001</v>
      </c>
      <c r="I162">
        <f t="shared" si="10"/>
        <v>7.0199890000000096</v>
      </c>
      <c r="J162">
        <v>14783200</v>
      </c>
      <c r="K162">
        <v>-1.00603621730382E-2</v>
      </c>
      <c r="L162">
        <v>-5</v>
      </c>
      <c r="M162">
        <f t="shared" si="11"/>
        <v>2.1208425981873141E-2</v>
      </c>
      <c r="N162">
        <v>497</v>
      </c>
    </row>
    <row r="163" spans="1:14" x14ac:dyDescent="0.25">
      <c r="A163" s="1">
        <v>43334</v>
      </c>
      <c r="B163" s="1">
        <f t="shared" si="8"/>
        <v>2018</v>
      </c>
      <c r="C163" s="1" t="str">
        <f t="shared" si="9"/>
        <v>Aug</v>
      </c>
      <c r="D163">
        <v>338.48998999999998</v>
      </c>
      <c r="E163">
        <v>346.209991</v>
      </c>
      <c r="F163">
        <v>337.41000400000001</v>
      </c>
      <c r="G163">
        <v>344.44000199999999</v>
      </c>
      <c r="H163">
        <v>344.44000199999999</v>
      </c>
      <c r="I163">
        <f t="shared" si="10"/>
        <v>5.9500120000000152</v>
      </c>
      <c r="J163">
        <v>8930700</v>
      </c>
      <c r="K163">
        <v>3.3132530120481903E-2</v>
      </c>
      <c r="L163">
        <v>11</v>
      </c>
      <c r="M163">
        <f t="shared" si="11"/>
        <v>1.7578103269759959E-2</v>
      </c>
      <c r="N163">
        <v>332</v>
      </c>
    </row>
    <row r="164" spans="1:14" x14ac:dyDescent="0.25">
      <c r="A164" s="1">
        <v>43335</v>
      </c>
      <c r="B164" s="1">
        <f t="shared" si="8"/>
        <v>2018</v>
      </c>
      <c r="C164" s="1" t="str">
        <f t="shared" si="9"/>
        <v>Aug</v>
      </c>
      <c r="D164">
        <v>348.10998499999999</v>
      </c>
      <c r="E164">
        <v>350.07998700000002</v>
      </c>
      <c r="F164">
        <v>337.64999399999999</v>
      </c>
      <c r="G164">
        <v>339.17001299999998</v>
      </c>
      <c r="H164">
        <v>339.17001299999998</v>
      </c>
      <c r="I164">
        <f t="shared" si="10"/>
        <v>-8.9399720000000116</v>
      </c>
      <c r="J164">
        <v>11336400</v>
      </c>
      <c r="K164">
        <v>-4.0625000000000001E-2</v>
      </c>
      <c r="L164">
        <v>-13</v>
      </c>
      <c r="M164">
        <f t="shared" si="11"/>
        <v>-2.5681458117324647E-2</v>
      </c>
      <c r="N164">
        <v>320</v>
      </c>
    </row>
    <row r="165" spans="1:14" x14ac:dyDescent="0.25">
      <c r="A165" s="1">
        <v>43336</v>
      </c>
      <c r="B165" s="1">
        <f t="shared" si="8"/>
        <v>2018</v>
      </c>
      <c r="C165" s="1" t="str">
        <f t="shared" si="9"/>
        <v>Aug</v>
      </c>
      <c r="D165">
        <v>346</v>
      </c>
      <c r="E165">
        <v>359.14999399999999</v>
      </c>
      <c r="F165">
        <v>344.540009</v>
      </c>
      <c r="G165">
        <v>358.82000699999998</v>
      </c>
      <c r="H165">
        <v>358.82000699999998</v>
      </c>
      <c r="I165">
        <f t="shared" si="10"/>
        <v>12.820006999999976</v>
      </c>
      <c r="J165">
        <v>14729100</v>
      </c>
      <c r="K165">
        <v>1.53061224489795E-2</v>
      </c>
      <c r="L165">
        <v>9</v>
      </c>
      <c r="M165">
        <f t="shared" si="11"/>
        <v>3.7052043352601087E-2</v>
      </c>
      <c r="N165">
        <v>588</v>
      </c>
    </row>
    <row r="166" spans="1:14" x14ac:dyDescent="0.25">
      <c r="A166" s="1">
        <v>43339</v>
      </c>
      <c r="B166" s="1">
        <f t="shared" si="8"/>
        <v>2018</v>
      </c>
      <c r="C166" s="1" t="str">
        <f t="shared" si="9"/>
        <v>Aug</v>
      </c>
      <c r="D166">
        <v>367.14999399999999</v>
      </c>
      <c r="E166">
        <v>374.48998999999998</v>
      </c>
      <c r="F166">
        <v>360</v>
      </c>
      <c r="G166">
        <v>364.57998700000002</v>
      </c>
      <c r="H166">
        <v>364.57998700000002</v>
      </c>
      <c r="I166">
        <f t="shared" si="10"/>
        <v>-2.5700069999999755</v>
      </c>
      <c r="J166">
        <v>17427300</v>
      </c>
      <c r="K166">
        <v>-1.5267175572519E-2</v>
      </c>
      <c r="L166">
        <v>-8</v>
      </c>
      <c r="M166">
        <f t="shared" si="11"/>
        <v>-6.9998829960486817E-3</v>
      </c>
      <c r="N166">
        <v>524</v>
      </c>
    </row>
    <row r="167" spans="1:14" x14ac:dyDescent="0.25">
      <c r="A167" s="1">
        <v>43340</v>
      </c>
      <c r="B167" s="1">
        <f t="shared" si="8"/>
        <v>2018</v>
      </c>
      <c r="C167" s="1" t="str">
        <f t="shared" si="9"/>
        <v>Aug</v>
      </c>
      <c r="D167">
        <v>367.23001099999999</v>
      </c>
      <c r="E167">
        <v>369.98998999999998</v>
      </c>
      <c r="F167">
        <v>360.38000499999998</v>
      </c>
      <c r="G167">
        <v>368.48998999999998</v>
      </c>
      <c r="H167">
        <v>368.48998999999998</v>
      </c>
      <c r="I167">
        <f t="shared" si="10"/>
        <v>1.2599789999999871</v>
      </c>
      <c r="J167">
        <v>9222600</v>
      </c>
      <c r="K167">
        <v>-2.4911032028469698E-2</v>
      </c>
      <c r="L167">
        <v>-7</v>
      </c>
      <c r="M167">
        <f t="shared" si="11"/>
        <v>3.4310349433831731E-3</v>
      </c>
      <c r="N167">
        <v>281</v>
      </c>
    </row>
    <row r="168" spans="1:14" x14ac:dyDescent="0.25">
      <c r="A168" s="1">
        <v>43341</v>
      </c>
      <c r="B168" s="1">
        <f t="shared" si="8"/>
        <v>2018</v>
      </c>
      <c r="C168" s="1" t="str">
        <f t="shared" si="9"/>
        <v>Aug</v>
      </c>
      <c r="D168">
        <v>367.20001200000002</v>
      </c>
      <c r="E168">
        <v>369.85998499999999</v>
      </c>
      <c r="F168">
        <v>362.91000400000001</v>
      </c>
      <c r="G168">
        <v>368.040009</v>
      </c>
      <c r="H168">
        <v>368.040009</v>
      </c>
      <c r="I168">
        <f t="shared" si="10"/>
        <v>0.83999699999998256</v>
      </c>
      <c r="J168">
        <v>8118700</v>
      </c>
      <c r="K168">
        <v>-3.8194444444444399E-2</v>
      </c>
      <c r="L168">
        <v>-11</v>
      </c>
      <c r="M168">
        <f t="shared" si="11"/>
        <v>2.2875734546544146E-3</v>
      </c>
      <c r="N168">
        <v>288</v>
      </c>
    </row>
    <row r="169" spans="1:14" x14ac:dyDescent="0.25">
      <c r="A169" s="1">
        <v>43342</v>
      </c>
      <c r="B169" s="1">
        <f t="shared" si="8"/>
        <v>2018</v>
      </c>
      <c r="C169" s="1" t="str">
        <f t="shared" si="9"/>
        <v>Aug</v>
      </c>
      <c r="D169">
        <v>365</v>
      </c>
      <c r="E169">
        <v>376.80999800000001</v>
      </c>
      <c r="F169">
        <v>363.540009</v>
      </c>
      <c r="G169">
        <v>370.98001099999999</v>
      </c>
      <c r="H169">
        <v>370.98001099999999</v>
      </c>
      <c r="I169">
        <f t="shared" si="10"/>
        <v>5.9800109999999904</v>
      </c>
      <c r="J169">
        <v>10981000</v>
      </c>
      <c r="K169">
        <v>4.6568627450980303E-2</v>
      </c>
      <c r="L169">
        <v>19</v>
      </c>
      <c r="M169">
        <f t="shared" si="11"/>
        <v>1.6383591780821893E-2</v>
      </c>
      <c r="N169">
        <v>408</v>
      </c>
    </row>
    <row r="170" spans="1:14" x14ac:dyDescent="0.25">
      <c r="A170" s="1">
        <v>43343</v>
      </c>
      <c r="B170" s="1">
        <f t="shared" si="8"/>
        <v>2018</v>
      </c>
      <c r="C170" s="1" t="str">
        <f t="shared" si="9"/>
        <v>Aug</v>
      </c>
      <c r="D170">
        <v>370.66000400000001</v>
      </c>
      <c r="E170">
        <v>376</v>
      </c>
      <c r="F170">
        <v>367.07998700000002</v>
      </c>
      <c r="G170">
        <v>367.67999300000002</v>
      </c>
      <c r="H170">
        <v>367.67999300000002</v>
      </c>
      <c r="I170">
        <f t="shared" si="10"/>
        <v>-2.9800109999999904</v>
      </c>
      <c r="J170">
        <v>7943400</v>
      </c>
      <c r="K170">
        <v>-1.8939393939393898E-2</v>
      </c>
      <c r="L170">
        <v>-5</v>
      </c>
      <c r="M170">
        <f t="shared" si="11"/>
        <v>-8.0397425345087679E-3</v>
      </c>
      <c r="N170">
        <v>264</v>
      </c>
    </row>
    <row r="171" spans="1:14" x14ac:dyDescent="0.25">
      <c r="A171" s="1">
        <v>43347</v>
      </c>
      <c r="B171" s="1">
        <f t="shared" si="8"/>
        <v>2018</v>
      </c>
      <c r="C171" s="1" t="str">
        <f t="shared" si="9"/>
        <v>Sep</v>
      </c>
      <c r="D171">
        <v>366.47000100000002</v>
      </c>
      <c r="E171">
        <v>368.88000499999998</v>
      </c>
      <c r="F171">
        <v>361.26001000000002</v>
      </c>
      <c r="G171">
        <v>363.60000600000001</v>
      </c>
      <c r="H171">
        <v>363.60000600000001</v>
      </c>
      <c r="I171">
        <f t="shared" si="10"/>
        <v>-2.8699950000000172</v>
      </c>
      <c r="J171">
        <v>7605200</v>
      </c>
      <c r="K171">
        <v>-7.4074074074074001E-2</v>
      </c>
      <c r="L171">
        <v>-22</v>
      </c>
      <c r="M171">
        <f t="shared" si="11"/>
        <v>-7.8314595796888081E-3</v>
      </c>
      <c r="N171">
        <v>297</v>
      </c>
    </row>
    <row r="172" spans="1:14" x14ac:dyDescent="0.25">
      <c r="A172" s="1">
        <v>43348</v>
      </c>
      <c r="B172" s="1">
        <f t="shared" si="8"/>
        <v>2018</v>
      </c>
      <c r="C172" s="1" t="str">
        <f t="shared" si="9"/>
        <v>Sep</v>
      </c>
      <c r="D172">
        <v>360</v>
      </c>
      <c r="E172">
        <v>363.39001500000001</v>
      </c>
      <c r="F172">
        <v>335.82998700000002</v>
      </c>
      <c r="G172">
        <v>341.17999300000002</v>
      </c>
      <c r="H172">
        <v>341.17999300000002</v>
      </c>
      <c r="I172">
        <f t="shared" si="10"/>
        <v>-18.820006999999976</v>
      </c>
      <c r="J172">
        <v>13092800</v>
      </c>
      <c r="K172">
        <v>-9.5982142857142794E-2</v>
      </c>
      <c r="L172">
        <v>-43</v>
      </c>
      <c r="M172">
        <f t="shared" si="11"/>
        <v>-5.2277797222222151E-2</v>
      </c>
      <c r="N172">
        <v>448</v>
      </c>
    </row>
    <row r="173" spans="1:14" x14ac:dyDescent="0.25">
      <c r="A173" s="1">
        <v>43349</v>
      </c>
      <c r="B173" s="1">
        <f t="shared" si="8"/>
        <v>2018</v>
      </c>
      <c r="C173" s="1" t="str">
        <f t="shared" si="9"/>
        <v>Sep</v>
      </c>
      <c r="D173">
        <v>347.44000199999999</v>
      </c>
      <c r="E173">
        <v>356</v>
      </c>
      <c r="F173">
        <v>341.98998999999998</v>
      </c>
      <c r="G173">
        <v>346.459991</v>
      </c>
      <c r="H173">
        <v>346.459991</v>
      </c>
      <c r="I173">
        <f t="shared" si="10"/>
        <v>-0.98001099999999042</v>
      </c>
      <c r="J173">
        <v>13050200</v>
      </c>
      <c r="K173">
        <v>-5.3140096618357398E-2</v>
      </c>
      <c r="L173">
        <v>-22</v>
      </c>
      <c r="M173">
        <f t="shared" si="11"/>
        <v>-2.8206625442052306E-3</v>
      </c>
      <c r="N173">
        <v>414</v>
      </c>
    </row>
    <row r="174" spans="1:14" x14ac:dyDescent="0.25">
      <c r="A174" s="1">
        <v>43350</v>
      </c>
      <c r="B174" s="1">
        <f t="shared" si="8"/>
        <v>2018</v>
      </c>
      <c r="C174" s="1" t="str">
        <f t="shared" si="9"/>
        <v>Sep</v>
      </c>
      <c r="D174">
        <v>342.20001200000002</v>
      </c>
      <c r="E174">
        <v>355.75</v>
      </c>
      <c r="F174">
        <v>341.25</v>
      </c>
      <c r="G174">
        <v>348.67999300000002</v>
      </c>
      <c r="H174">
        <v>348.67999300000002</v>
      </c>
      <c r="I174">
        <f t="shared" si="10"/>
        <v>6.4799810000000093</v>
      </c>
      <c r="J174">
        <v>9105800</v>
      </c>
      <c r="K174">
        <v>-4.1176470588235203E-2</v>
      </c>
      <c r="L174">
        <v>-14</v>
      </c>
      <c r="M174">
        <f t="shared" si="11"/>
        <v>1.8936238377455138E-2</v>
      </c>
      <c r="N174">
        <v>340</v>
      </c>
    </row>
    <row r="175" spans="1:14" x14ac:dyDescent="0.25">
      <c r="A175" s="1">
        <v>43353</v>
      </c>
      <c r="B175" s="1">
        <f t="shared" si="8"/>
        <v>2018</v>
      </c>
      <c r="C175" s="1" t="str">
        <f t="shared" si="9"/>
        <v>Sep</v>
      </c>
      <c r="D175">
        <v>352.26998900000001</v>
      </c>
      <c r="E175">
        <v>352.5</v>
      </c>
      <c r="F175">
        <v>343.07998700000002</v>
      </c>
      <c r="G175">
        <v>348.41000400000001</v>
      </c>
      <c r="H175">
        <v>348.41000400000001</v>
      </c>
      <c r="I175">
        <f t="shared" si="10"/>
        <v>-3.8599849999999947</v>
      </c>
      <c r="J175">
        <v>5752200</v>
      </c>
      <c r="K175">
        <v>-4.0123456790123399E-2</v>
      </c>
      <c r="L175">
        <v>-13</v>
      </c>
      <c r="M175">
        <f t="shared" si="11"/>
        <v>-1.095746194831259E-2</v>
      </c>
      <c r="N175">
        <v>324</v>
      </c>
    </row>
    <row r="176" spans="1:14" x14ac:dyDescent="0.25">
      <c r="A176" s="1">
        <v>43354</v>
      </c>
      <c r="B176" s="1">
        <f t="shared" si="8"/>
        <v>2018</v>
      </c>
      <c r="C176" s="1" t="str">
        <f t="shared" si="9"/>
        <v>Sep</v>
      </c>
      <c r="D176">
        <v>344.67001299999998</v>
      </c>
      <c r="E176">
        <v>356.14999399999999</v>
      </c>
      <c r="F176">
        <v>343.89999399999999</v>
      </c>
      <c r="G176">
        <v>355.92999300000002</v>
      </c>
      <c r="H176">
        <v>355.92999300000002</v>
      </c>
      <c r="I176">
        <f t="shared" si="10"/>
        <v>11.259980000000041</v>
      </c>
      <c r="J176">
        <v>6198100</v>
      </c>
      <c r="K176">
        <v>-9.2879256965943992E-3</v>
      </c>
      <c r="L176">
        <v>-3</v>
      </c>
      <c r="M176">
        <f t="shared" si="11"/>
        <v>3.2668870442175778E-2</v>
      </c>
      <c r="N176">
        <v>323</v>
      </c>
    </row>
    <row r="177" spans="1:14" x14ac:dyDescent="0.25">
      <c r="A177" s="1">
        <v>43355</v>
      </c>
      <c r="B177" s="1">
        <f t="shared" si="8"/>
        <v>2018</v>
      </c>
      <c r="C177" s="1" t="str">
        <f t="shared" si="9"/>
        <v>Sep</v>
      </c>
      <c r="D177">
        <v>359.07998700000002</v>
      </c>
      <c r="E177">
        <v>370.42999300000002</v>
      </c>
      <c r="F177">
        <v>356.23998999999998</v>
      </c>
      <c r="G177">
        <v>369.95001200000002</v>
      </c>
      <c r="H177">
        <v>369.95001200000002</v>
      </c>
      <c r="I177">
        <f t="shared" si="10"/>
        <v>10.870024999999998</v>
      </c>
      <c r="J177">
        <v>10480800</v>
      </c>
      <c r="K177">
        <v>-3.0237580993520499E-2</v>
      </c>
      <c r="L177">
        <v>-14</v>
      </c>
      <c r="M177">
        <f t="shared" si="11"/>
        <v>3.0271876444063695E-2</v>
      </c>
      <c r="N177">
        <v>463</v>
      </c>
    </row>
    <row r="178" spans="1:14" x14ac:dyDescent="0.25">
      <c r="A178" s="1">
        <v>43356</v>
      </c>
      <c r="B178" s="1">
        <f t="shared" si="8"/>
        <v>2018</v>
      </c>
      <c r="C178" s="1" t="str">
        <f t="shared" si="9"/>
        <v>Sep</v>
      </c>
      <c r="D178">
        <v>371.91000400000001</v>
      </c>
      <c r="E178">
        <v>374.08999599999999</v>
      </c>
      <c r="F178">
        <v>366.83999599999999</v>
      </c>
      <c r="G178">
        <v>368.14999399999999</v>
      </c>
      <c r="H178">
        <v>368.14999399999999</v>
      </c>
      <c r="I178">
        <f t="shared" si="10"/>
        <v>-3.7600100000000225</v>
      </c>
      <c r="J178">
        <v>8366100</v>
      </c>
      <c r="K178">
        <v>-2.4793388429752001E-2</v>
      </c>
      <c r="L178">
        <v>-9</v>
      </c>
      <c r="M178">
        <f t="shared" si="11"/>
        <v>-1.0109999622381823E-2</v>
      </c>
      <c r="N178">
        <v>363</v>
      </c>
    </row>
    <row r="179" spans="1:14" x14ac:dyDescent="0.25">
      <c r="A179" s="1">
        <v>43357</v>
      </c>
      <c r="B179" s="1">
        <f t="shared" si="8"/>
        <v>2018</v>
      </c>
      <c r="C179" s="1" t="str">
        <f t="shared" si="9"/>
        <v>Sep</v>
      </c>
      <c r="D179">
        <v>368.54998799999998</v>
      </c>
      <c r="E179">
        <v>371.08999599999999</v>
      </c>
      <c r="F179">
        <v>363.459991</v>
      </c>
      <c r="G179">
        <v>364.55999800000001</v>
      </c>
      <c r="H179">
        <v>364.55999800000001</v>
      </c>
      <c r="I179">
        <f t="shared" si="10"/>
        <v>-3.9899899999999775</v>
      </c>
      <c r="J179">
        <v>4756400</v>
      </c>
      <c r="K179">
        <v>-9.5652173913043398E-2</v>
      </c>
      <c r="L179">
        <v>-22</v>
      </c>
      <c r="M179">
        <f t="shared" si="11"/>
        <v>-1.0826184045351205E-2</v>
      </c>
      <c r="N179">
        <v>230</v>
      </c>
    </row>
    <row r="180" spans="1:14" x14ac:dyDescent="0.25">
      <c r="A180" s="1">
        <v>43360</v>
      </c>
      <c r="B180" s="1">
        <f t="shared" si="8"/>
        <v>2018</v>
      </c>
      <c r="C180" s="1" t="str">
        <f t="shared" si="9"/>
        <v>Sep</v>
      </c>
      <c r="D180">
        <v>364.22000100000002</v>
      </c>
      <c r="E180">
        <v>367.32998700000002</v>
      </c>
      <c r="F180">
        <v>349.57000699999998</v>
      </c>
      <c r="G180">
        <v>350.35000600000001</v>
      </c>
      <c r="H180">
        <v>350.35000600000001</v>
      </c>
      <c r="I180">
        <f t="shared" si="10"/>
        <v>-13.869995000000017</v>
      </c>
      <c r="J180">
        <v>7071900</v>
      </c>
      <c r="K180">
        <v>-0.11501597444089399</v>
      </c>
      <c r="L180">
        <v>-36</v>
      </c>
      <c r="M180">
        <f t="shared" si="11"/>
        <v>-3.808136555356282E-2</v>
      </c>
      <c r="N180">
        <v>313</v>
      </c>
    </row>
    <row r="181" spans="1:14" x14ac:dyDescent="0.25">
      <c r="A181" s="1">
        <v>43361</v>
      </c>
      <c r="B181" s="1">
        <f t="shared" si="8"/>
        <v>2018</v>
      </c>
      <c r="C181" s="1" t="str">
        <f t="shared" si="9"/>
        <v>Sep</v>
      </c>
      <c r="D181">
        <v>353.67001299999998</v>
      </c>
      <c r="E181">
        <v>368.14999399999999</v>
      </c>
      <c r="F181">
        <v>351.55999800000001</v>
      </c>
      <c r="G181">
        <v>367.64999399999999</v>
      </c>
      <c r="H181">
        <v>367.64999399999999</v>
      </c>
      <c r="I181">
        <f t="shared" si="10"/>
        <v>13.979981000000009</v>
      </c>
      <c r="J181">
        <v>10414000</v>
      </c>
      <c r="K181">
        <v>7.3529411764704997E-3</v>
      </c>
      <c r="L181">
        <v>3</v>
      </c>
      <c r="M181">
        <f t="shared" si="11"/>
        <v>3.9528318732524291E-2</v>
      </c>
      <c r="N181">
        <v>408</v>
      </c>
    </row>
    <row r="182" spans="1:14" x14ac:dyDescent="0.25">
      <c r="A182" s="1">
        <v>43362</v>
      </c>
      <c r="B182" s="1">
        <f t="shared" si="8"/>
        <v>2018</v>
      </c>
      <c r="C182" s="1" t="str">
        <f t="shared" si="9"/>
        <v>Sep</v>
      </c>
      <c r="D182">
        <v>373.95001200000002</v>
      </c>
      <c r="E182">
        <v>377.60998499999999</v>
      </c>
      <c r="F182">
        <v>359.17001299999998</v>
      </c>
      <c r="G182">
        <v>366.959991</v>
      </c>
      <c r="H182">
        <v>366.959991</v>
      </c>
      <c r="I182">
        <f t="shared" si="10"/>
        <v>-6.9900210000000129</v>
      </c>
      <c r="J182">
        <v>11876800</v>
      </c>
      <c r="K182">
        <v>-4.7808764940239001E-2</v>
      </c>
      <c r="L182">
        <v>-24</v>
      </c>
      <c r="M182">
        <f t="shared" si="11"/>
        <v>-1.8692394105338371E-2</v>
      </c>
      <c r="N182">
        <v>502</v>
      </c>
    </row>
    <row r="183" spans="1:14" x14ac:dyDescent="0.25">
      <c r="A183" s="1">
        <v>43363</v>
      </c>
      <c r="B183" s="1">
        <f t="shared" si="8"/>
        <v>2018</v>
      </c>
      <c r="C183" s="1" t="str">
        <f t="shared" si="9"/>
        <v>Sep</v>
      </c>
      <c r="D183">
        <v>370.26001000000002</v>
      </c>
      <c r="E183">
        <v>370.26001000000002</v>
      </c>
      <c r="F183">
        <v>363.17001299999998</v>
      </c>
      <c r="G183">
        <v>365.35998499999999</v>
      </c>
      <c r="H183">
        <v>365.35998499999999</v>
      </c>
      <c r="I183">
        <f t="shared" si="10"/>
        <v>-4.9000250000000278</v>
      </c>
      <c r="J183">
        <v>6768100</v>
      </c>
      <c r="K183">
        <v>-4.6448087431693902E-2</v>
      </c>
      <c r="L183">
        <v>-17</v>
      </c>
      <c r="M183">
        <f t="shared" si="11"/>
        <v>-1.3234010877923402E-2</v>
      </c>
      <c r="N183">
        <v>366</v>
      </c>
    </row>
    <row r="184" spans="1:14" x14ac:dyDescent="0.25">
      <c r="A184" s="1">
        <v>43364</v>
      </c>
      <c r="B184" s="1">
        <f t="shared" si="8"/>
        <v>2018</v>
      </c>
      <c r="C184" s="1" t="str">
        <f t="shared" si="9"/>
        <v>Sep</v>
      </c>
      <c r="D184">
        <v>366.58999599999999</v>
      </c>
      <c r="E184">
        <v>372.22000100000002</v>
      </c>
      <c r="F184">
        <v>360.73998999999998</v>
      </c>
      <c r="G184">
        <v>361.19000199999999</v>
      </c>
      <c r="H184">
        <v>361.19000199999999</v>
      </c>
      <c r="I184">
        <f t="shared" si="10"/>
        <v>-5.3999939999999924</v>
      </c>
      <c r="J184">
        <v>11930600</v>
      </c>
      <c r="K184">
        <v>-1.5974440894568599E-2</v>
      </c>
      <c r="L184">
        <v>-5</v>
      </c>
      <c r="M184">
        <f t="shared" si="11"/>
        <v>-1.4730336503781714E-2</v>
      </c>
      <c r="N184">
        <v>313</v>
      </c>
    </row>
    <row r="185" spans="1:14" x14ac:dyDescent="0.25">
      <c r="A185" s="1">
        <v>43367</v>
      </c>
      <c r="B185" s="1">
        <f t="shared" si="8"/>
        <v>2018</v>
      </c>
      <c r="C185" s="1" t="str">
        <f t="shared" si="9"/>
        <v>Sep</v>
      </c>
      <c r="D185">
        <v>359</v>
      </c>
      <c r="E185">
        <v>373.64001500000001</v>
      </c>
      <c r="F185">
        <v>354.32998700000002</v>
      </c>
      <c r="G185">
        <v>369.60998499999999</v>
      </c>
      <c r="H185">
        <v>369.60998499999999</v>
      </c>
      <c r="I185">
        <f t="shared" si="10"/>
        <v>10.609984999999995</v>
      </c>
      <c r="J185">
        <v>9322500</v>
      </c>
      <c r="K185">
        <v>1.1709601873536301E-2</v>
      </c>
      <c r="L185">
        <v>5</v>
      </c>
      <c r="M185">
        <f t="shared" si="11"/>
        <v>2.9554275766016699E-2</v>
      </c>
      <c r="N185">
        <v>427</v>
      </c>
    </row>
    <row r="186" spans="1:14" x14ac:dyDescent="0.25">
      <c r="A186" s="1">
        <v>43368</v>
      </c>
      <c r="B186" s="1">
        <f t="shared" si="8"/>
        <v>2018</v>
      </c>
      <c r="C186" s="1" t="str">
        <f t="shared" si="9"/>
        <v>Sep</v>
      </c>
      <c r="D186">
        <v>370.23001099999999</v>
      </c>
      <c r="E186">
        <v>371.33999599999999</v>
      </c>
      <c r="F186">
        <v>364.48998999999998</v>
      </c>
      <c r="G186">
        <v>369.42999300000002</v>
      </c>
      <c r="H186">
        <v>369.42999300000002</v>
      </c>
      <c r="I186">
        <f t="shared" si="10"/>
        <v>-0.80001799999996592</v>
      </c>
      <c r="J186">
        <v>6799800</v>
      </c>
      <c r="K186">
        <v>-1.1527377521613799E-2</v>
      </c>
      <c r="L186">
        <v>-4</v>
      </c>
      <c r="M186">
        <f t="shared" si="11"/>
        <v>-2.1608675046063891E-3</v>
      </c>
      <c r="N186">
        <v>347</v>
      </c>
    </row>
    <row r="187" spans="1:14" x14ac:dyDescent="0.25">
      <c r="A187" s="1">
        <v>43369</v>
      </c>
      <c r="B187" s="1">
        <f t="shared" si="8"/>
        <v>2018</v>
      </c>
      <c r="C187" s="1" t="str">
        <f t="shared" si="9"/>
        <v>Sep</v>
      </c>
      <c r="D187">
        <v>373.58999599999999</v>
      </c>
      <c r="E187">
        <v>382</v>
      </c>
      <c r="F187">
        <v>370.88000499999998</v>
      </c>
      <c r="G187">
        <v>377.88000499999998</v>
      </c>
      <c r="H187">
        <v>377.88000499999998</v>
      </c>
      <c r="I187">
        <f t="shared" si="10"/>
        <v>4.2900089999999977</v>
      </c>
      <c r="J187">
        <v>13799700</v>
      </c>
      <c r="K187">
        <v>3.8022813688212899E-2</v>
      </c>
      <c r="L187">
        <v>20</v>
      </c>
      <c r="M187">
        <f t="shared" si="11"/>
        <v>1.1483200958089889E-2</v>
      </c>
      <c r="N187">
        <v>526</v>
      </c>
    </row>
    <row r="188" spans="1:14" x14ac:dyDescent="0.25">
      <c r="A188" s="1">
        <v>43370</v>
      </c>
      <c r="B188" s="1">
        <f t="shared" si="8"/>
        <v>2018</v>
      </c>
      <c r="C188" s="1" t="str">
        <f t="shared" si="9"/>
        <v>Sep</v>
      </c>
      <c r="D188">
        <v>379.86999500000002</v>
      </c>
      <c r="E188">
        <v>383.20001200000002</v>
      </c>
      <c r="F188">
        <v>376</v>
      </c>
      <c r="G188">
        <v>380.709991</v>
      </c>
      <c r="H188">
        <v>380.709991</v>
      </c>
      <c r="I188">
        <f t="shared" si="10"/>
        <v>0.83999599999998509</v>
      </c>
      <c r="J188">
        <v>7326200</v>
      </c>
      <c r="K188">
        <v>-2.97297297297297E-2</v>
      </c>
      <c r="L188">
        <v>-11</v>
      </c>
      <c r="M188">
        <f t="shared" si="11"/>
        <v>2.2112723064636498E-3</v>
      </c>
      <c r="N188">
        <v>370</v>
      </c>
    </row>
    <row r="189" spans="1:14" x14ac:dyDescent="0.25">
      <c r="A189" s="1">
        <v>43371</v>
      </c>
      <c r="B189" s="1">
        <f t="shared" si="8"/>
        <v>2018</v>
      </c>
      <c r="C189" s="1" t="str">
        <f t="shared" si="9"/>
        <v>Sep</v>
      </c>
      <c r="D189">
        <v>379.23998999999998</v>
      </c>
      <c r="E189">
        <v>380.79998799999998</v>
      </c>
      <c r="F189">
        <v>373.73001099999999</v>
      </c>
      <c r="G189">
        <v>374.13000499999998</v>
      </c>
      <c r="H189">
        <v>374.13000499999998</v>
      </c>
      <c r="I189">
        <f t="shared" si="10"/>
        <v>-5.1099849999999947</v>
      </c>
      <c r="J189">
        <v>7114900</v>
      </c>
      <c r="K189">
        <v>-5.8620689655172399E-2</v>
      </c>
      <c r="L189">
        <v>-17</v>
      </c>
      <c r="M189">
        <f t="shared" si="11"/>
        <v>-1.3474277857670008E-2</v>
      </c>
      <c r="N189">
        <v>290</v>
      </c>
    </row>
    <row r="190" spans="1:14" x14ac:dyDescent="0.25">
      <c r="A190" s="1">
        <v>43374</v>
      </c>
      <c r="B190" s="1">
        <f t="shared" si="8"/>
        <v>2018</v>
      </c>
      <c r="C190" s="1" t="str">
        <f t="shared" si="9"/>
        <v>Oct</v>
      </c>
      <c r="D190">
        <v>375.85000600000001</v>
      </c>
      <c r="E190">
        <v>386.10998499999999</v>
      </c>
      <c r="F190">
        <v>375.58999599999999</v>
      </c>
      <c r="G190">
        <v>381.42999300000002</v>
      </c>
      <c r="H190">
        <v>381.42999300000002</v>
      </c>
      <c r="I190">
        <f t="shared" si="10"/>
        <v>5.5799870000000169</v>
      </c>
      <c r="J190">
        <v>8376600</v>
      </c>
      <c r="K190">
        <v>1.3297872340425501E-2</v>
      </c>
      <c r="L190">
        <v>5</v>
      </c>
      <c r="M190">
        <f t="shared" si="11"/>
        <v>1.4846313451967902E-2</v>
      </c>
      <c r="N190">
        <v>376</v>
      </c>
    </row>
    <row r="191" spans="1:14" x14ac:dyDescent="0.25">
      <c r="A191" s="1">
        <v>43375</v>
      </c>
      <c r="B191" s="1">
        <f t="shared" si="8"/>
        <v>2018</v>
      </c>
      <c r="C191" s="1" t="str">
        <f t="shared" si="9"/>
        <v>Oct</v>
      </c>
      <c r="D191">
        <v>384.38000499999998</v>
      </c>
      <c r="E191">
        <v>386.79998799999998</v>
      </c>
      <c r="F191">
        <v>373.82998700000002</v>
      </c>
      <c r="G191">
        <v>377.14001500000001</v>
      </c>
      <c r="H191">
        <v>377.14001500000001</v>
      </c>
      <c r="I191">
        <f t="shared" si="10"/>
        <v>-7.2399899999999775</v>
      </c>
      <c r="J191">
        <v>8638700</v>
      </c>
      <c r="K191">
        <v>-5.2631578947368397E-2</v>
      </c>
      <c r="L191">
        <v>-17</v>
      </c>
      <c r="M191">
        <f t="shared" si="11"/>
        <v>-1.8835501081800491E-2</v>
      </c>
      <c r="N191">
        <v>323</v>
      </c>
    </row>
    <row r="192" spans="1:14" x14ac:dyDescent="0.25">
      <c r="A192" s="1">
        <v>43376</v>
      </c>
      <c r="B192" s="1">
        <f t="shared" si="8"/>
        <v>2018</v>
      </c>
      <c r="C192" s="1" t="str">
        <f t="shared" si="9"/>
        <v>Oct</v>
      </c>
      <c r="D192">
        <v>378.52999899999998</v>
      </c>
      <c r="E192">
        <v>380.92999300000002</v>
      </c>
      <c r="F192">
        <v>374.88000499999998</v>
      </c>
      <c r="G192">
        <v>377.04998799999998</v>
      </c>
      <c r="H192">
        <v>377.04998799999998</v>
      </c>
      <c r="I192">
        <f t="shared" si="10"/>
        <v>-1.4800109999999904</v>
      </c>
      <c r="J192">
        <v>5798600</v>
      </c>
      <c r="K192">
        <v>-6.9387755102040802E-2</v>
      </c>
      <c r="L192">
        <v>-17</v>
      </c>
      <c r="M192">
        <f t="shared" si="11"/>
        <v>-3.9098909040495636E-3</v>
      </c>
      <c r="N192">
        <v>245</v>
      </c>
    </row>
    <row r="193" spans="1:14" x14ac:dyDescent="0.25">
      <c r="A193" s="1">
        <v>43377</v>
      </c>
      <c r="B193" s="1">
        <f t="shared" si="8"/>
        <v>2018</v>
      </c>
      <c r="C193" s="1" t="str">
        <f t="shared" si="9"/>
        <v>Oct</v>
      </c>
      <c r="D193">
        <v>375.88000499999998</v>
      </c>
      <c r="E193">
        <v>375.92001299999998</v>
      </c>
      <c r="F193">
        <v>360.39999399999999</v>
      </c>
      <c r="G193">
        <v>363.64999399999999</v>
      </c>
      <c r="H193">
        <v>363.64999399999999</v>
      </c>
      <c r="I193">
        <f t="shared" si="10"/>
        <v>-12.23001099999999</v>
      </c>
      <c r="J193">
        <v>9074400</v>
      </c>
      <c r="K193">
        <v>-8.9820359281437098E-2</v>
      </c>
      <c r="L193">
        <v>-30</v>
      </c>
      <c r="M193">
        <f t="shared" si="11"/>
        <v>-3.2537008719045829E-2</v>
      </c>
      <c r="N193">
        <v>334</v>
      </c>
    </row>
    <row r="194" spans="1:14" x14ac:dyDescent="0.25">
      <c r="A194" s="1">
        <v>43378</v>
      </c>
      <c r="B194" s="1">
        <f t="shared" ref="B194:B257" si="12">YEAR(A194)</f>
        <v>2018</v>
      </c>
      <c r="C194" s="1" t="str">
        <f t="shared" ref="C194:C257" si="13">TEXT(A194,"mmm")</f>
        <v>Oct</v>
      </c>
      <c r="D194">
        <v>359.76998900000001</v>
      </c>
      <c r="E194">
        <v>363.5</v>
      </c>
      <c r="F194">
        <v>343</v>
      </c>
      <c r="G194">
        <v>351.35000600000001</v>
      </c>
      <c r="H194">
        <v>351.35000600000001</v>
      </c>
      <c r="I194">
        <f t="shared" ref="I194:I257" si="14">G194-D194</f>
        <v>-8.419983000000002</v>
      </c>
      <c r="J194">
        <v>13523000</v>
      </c>
      <c r="K194">
        <v>-0.121052631578947</v>
      </c>
      <c r="L194">
        <v>-46</v>
      </c>
      <c r="M194">
        <f t="shared" ref="M194:M257" si="15">(G194-D194)/D194</f>
        <v>-2.3403794806242169E-2</v>
      </c>
      <c r="N194">
        <v>380</v>
      </c>
    </row>
    <row r="195" spans="1:14" x14ac:dyDescent="0.25">
      <c r="A195" s="1">
        <v>43381</v>
      </c>
      <c r="B195" s="1">
        <f t="shared" si="12"/>
        <v>2018</v>
      </c>
      <c r="C195" s="1" t="str">
        <f t="shared" si="13"/>
        <v>Oct</v>
      </c>
      <c r="D195">
        <v>345.17999300000002</v>
      </c>
      <c r="E195">
        <v>352.95001200000002</v>
      </c>
      <c r="F195">
        <v>338.10998499999999</v>
      </c>
      <c r="G195">
        <v>349.10000600000001</v>
      </c>
      <c r="H195">
        <v>349.10000600000001</v>
      </c>
      <c r="I195">
        <f t="shared" si="14"/>
        <v>3.9200129999999831</v>
      </c>
      <c r="J195">
        <v>12375500</v>
      </c>
      <c r="K195">
        <v>-5.8309037900874001E-3</v>
      </c>
      <c r="L195">
        <v>-2</v>
      </c>
      <c r="M195">
        <f t="shared" si="15"/>
        <v>1.1356431657381668E-2</v>
      </c>
      <c r="N195">
        <v>343</v>
      </c>
    </row>
    <row r="196" spans="1:14" x14ac:dyDescent="0.25">
      <c r="A196" s="1">
        <v>43382</v>
      </c>
      <c r="B196" s="1">
        <f t="shared" si="12"/>
        <v>2018</v>
      </c>
      <c r="C196" s="1" t="str">
        <f t="shared" si="13"/>
        <v>Oct</v>
      </c>
      <c r="D196">
        <v>348.48001099999999</v>
      </c>
      <c r="E196">
        <v>358.72000100000002</v>
      </c>
      <c r="F196">
        <v>347.08999599999999</v>
      </c>
      <c r="G196">
        <v>355.709991</v>
      </c>
      <c r="H196">
        <v>355.709991</v>
      </c>
      <c r="I196">
        <f t="shared" si="14"/>
        <v>7.2299800000000118</v>
      </c>
      <c r="J196">
        <v>8755000</v>
      </c>
      <c r="K196">
        <v>1.56739811912225E-2</v>
      </c>
      <c r="L196">
        <v>5</v>
      </c>
      <c r="M196">
        <f t="shared" si="15"/>
        <v>2.0747187132061966E-2</v>
      </c>
      <c r="N196">
        <v>319</v>
      </c>
    </row>
    <row r="197" spans="1:14" x14ac:dyDescent="0.25">
      <c r="A197" s="1">
        <v>43383</v>
      </c>
      <c r="B197" s="1">
        <f t="shared" si="12"/>
        <v>2018</v>
      </c>
      <c r="C197" s="1" t="str">
        <f t="shared" si="13"/>
        <v>Oct</v>
      </c>
      <c r="D197">
        <v>353.51998900000001</v>
      </c>
      <c r="E197">
        <v>355.14999399999999</v>
      </c>
      <c r="F197">
        <v>325.39001500000001</v>
      </c>
      <c r="G197">
        <v>325.89001500000001</v>
      </c>
      <c r="H197">
        <v>325.89001500000001</v>
      </c>
      <c r="I197">
        <f t="shared" si="14"/>
        <v>-27.629974000000004</v>
      </c>
      <c r="J197">
        <v>17183100</v>
      </c>
      <c r="K197">
        <v>-0.13066202090592299</v>
      </c>
      <c r="L197">
        <v>-75</v>
      </c>
      <c r="M197">
        <f t="shared" si="15"/>
        <v>-7.8156751696436613E-2</v>
      </c>
      <c r="N197">
        <v>574</v>
      </c>
    </row>
    <row r="198" spans="1:14" x14ac:dyDescent="0.25">
      <c r="A198" s="1">
        <v>43384</v>
      </c>
      <c r="B198" s="1">
        <f t="shared" si="12"/>
        <v>2018</v>
      </c>
      <c r="C198" s="1" t="str">
        <f t="shared" si="13"/>
        <v>Oct</v>
      </c>
      <c r="D198">
        <v>324.94000199999999</v>
      </c>
      <c r="E198">
        <v>334.20001200000002</v>
      </c>
      <c r="F198">
        <v>315.80999800000001</v>
      </c>
      <c r="G198">
        <v>321.10000600000001</v>
      </c>
      <c r="H198">
        <v>321.10000600000001</v>
      </c>
      <c r="I198">
        <f t="shared" si="14"/>
        <v>-3.8399959999999851</v>
      </c>
      <c r="J198">
        <v>16082100</v>
      </c>
      <c r="K198">
        <v>-0.103578154425612</v>
      </c>
      <c r="L198">
        <v>-55</v>
      </c>
      <c r="M198">
        <f t="shared" si="15"/>
        <v>-1.1817553937234189E-2</v>
      </c>
      <c r="N198">
        <v>531</v>
      </c>
    </row>
    <row r="199" spans="1:14" x14ac:dyDescent="0.25">
      <c r="A199" s="1">
        <v>43385</v>
      </c>
      <c r="B199" s="1">
        <f t="shared" si="12"/>
        <v>2018</v>
      </c>
      <c r="C199" s="1" t="str">
        <f t="shared" si="13"/>
        <v>Oct</v>
      </c>
      <c r="D199">
        <v>339.57000699999998</v>
      </c>
      <c r="E199">
        <v>341.29998799999998</v>
      </c>
      <c r="F199">
        <v>328.89999399999999</v>
      </c>
      <c r="G199">
        <v>339.55999800000001</v>
      </c>
      <c r="H199">
        <v>339.55999800000001</v>
      </c>
      <c r="I199">
        <f t="shared" si="14"/>
        <v>-1.0008999999968182E-2</v>
      </c>
      <c r="J199">
        <v>14870800</v>
      </c>
      <c r="K199">
        <v>-9.8619329388560002E-3</v>
      </c>
      <c r="L199">
        <v>-5</v>
      </c>
      <c r="M199">
        <f t="shared" si="15"/>
        <v>-2.9475512541271592E-5</v>
      </c>
      <c r="N199">
        <v>507</v>
      </c>
    </row>
    <row r="200" spans="1:14" x14ac:dyDescent="0.25">
      <c r="A200" s="1">
        <v>43388</v>
      </c>
      <c r="B200" s="1">
        <f t="shared" si="12"/>
        <v>2018</v>
      </c>
      <c r="C200" s="1" t="str">
        <f t="shared" si="13"/>
        <v>Oct</v>
      </c>
      <c r="D200">
        <v>337.63000499999998</v>
      </c>
      <c r="E200">
        <v>339.209991</v>
      </c>
      <c r="F200">
        <v>326.92999300000002</v>
      </c>
      <c r="G200">
        <v>333.13000499999998</v>
      </c>
      <c r="H200">
        <v>333.13000499999998</v>
      </c>
      <c r="I200">
        <f t="shared" si="14"/>
        <v>-4.5</v>
      </c>
      <c r="J200">
        <v>11215000</v>
      </c>
      <c r="K200">
        <v>-4.7445255474452497E-2</v>
      </c>
      <c r="L200">
        <v>-26</v>
      </c>
      <c r="M200">
        <f t="shared" si="15"/>
        <v>-1.3328199310958752E-2</v>
      </c>
      <c r="N200">
        <v>548</v>
      </c>
    </row>
    <row r="201" spans="1:14" x14ac:dyDescent="0.25">
      <c r="A201" s="1">
        <v>43389</v>
      </c>
      <c r="B201" s="1">
        <f t="shared" si="12"/>
        <v>2018</v>
      </c>
      <c r="C201" s="1" t="str">
        <f t="shared" si="13"/>
        <v>Oct</v>
      </c>
      <c r="D201">
        <v>337.23998999999998</v>
      </c>
      <c r="E201">
        <v>347.95001200000002</v>
      </c>
      <c r="F201">
        <v>330.55999800000001</v>
      </c>
      <c r="G201">
        <v>346.39999399999999</v>
      </c>
      <c r="H201">
        <v>346.39999399999999</v>
      </c>
      <c r="I201">
        <f t="shared" si="14"/>
        <v>9.1600040000000149</v>
      </c>
      <c r="J201">
        <v>20156400</v>
      </c>
      <c r="K201">
        <v>-3.23422013562858E-2</v>
      </c>
      <c r="L201">
        <v>-62</v>
      </c>
      <c r="M201">
        <f t="shared" si="15"/>
        <v>2.7161677949284768E-2</v>
      </c>
      <c r="N201">
        <v>1917</v>
      </c>
    </row>
    <row r="202" spans="1:14" x14ac:dyDescent="0.25">
      <c r="A202" s="1">
        <v>43390</v>
      </c>
      <c r="B202" s="1">
        <f t="shared" si="12"/>
        <v>2018</v>
      </c>
      <c r="C202" s="1" t="str">
        <f t="shared" si="13"/>
        <v>Oct</v>
      </c>
      <c r="D202">
        <v>378.32998700000002</v>
      </c>
      <c r="E202">
        <v>380</v>
      </c>
      <c r="F202">
        <v>356.5</v>
      </c>
      <c r="G202">
        <v>364.70001200000002</v>
      </c>
      <c r="H202">
        <v>364.70001200000002</v>
      </c>
      <c r="I202">
        <f t="shared" si="14"/>
        <v>-13.629975000000002</v>
      </c>
      <c r="J202">
        <v>32610900</v>
      </c>
      <c r="K202">
        <v>-0.121440085975282</v>
      </c>
      <c r="L202">
        <v>-226</v>
      </c>
      <c r="M202">
        <f t="shared" si="15"/>
        <v>-3.6026684292408469E-2</v>
      </c>
      <c r="N202">
        <v>1861</v>
      </c>
    </row>
    <row r="203" spans="1:14" x14ac:dyDescent="0.25">
      <c r="A203" s="1">
        <v>43391</v>
      </c>
      <c r="B203" s="1">
        <f t="shared" si="12"/>
        <v>2018</v>
      </c>
      <c r="C203" s="1" t="str">
        <f t="shared" si="13"/>
        <v>Oct</v>
      </c>
      <c r="D203">
        <v>360.67001299999998</v>
      </c>
      <c r="E203">
        <v>362.20001200000002</v>
      </c>
      <c r="F203">
        <v>346.04998799999998</v>
      </c>
      <c r="G203">
        <v>346.709991</v>
      </c>
      <c r="H203">
        <v>346.709991</v>
      </c>
      <c r="I203">
        <f t="shared" si="14"/>
        <v>-13.960021999999981</v>
      </c>
      <c r="J203">
        <v>18461000</v>
      </c>
      <c r="K203">
        <v>-0.142436149312377</v>
      </c>
      <c r="L203">
        <v>-145</v>
      </c>
      <c r="M203">
        <f t="shared" si="15"/>
        <v>-3.8705801693582939E-2</v>
      </c>
      <c r="N203">
        <v>1018</v>
      </c>
    </row>
    <row r="204" spans="1:14" x14ac:dyDescent="0.25">
      <c r="A204" s="1">
        <v>43392</v>
      </c>
      <c r="B204" s="1">
        <f t="shared" si="12"/>
        <v>2018</v>
      </c>
      <c r="C204" s="1" t="str">
        <f t="shared" si="13"/>
        <v>Oct</v>
      </c>
      <c r="D204">
        <v>351</v>
      </c>
      <c r="E204">
        <v>355.79998799999998</v>
      </c>
      <c r="F204">
        <v>332.20001200000002</v>
      </c>
      <c r="G204">
        <v>332.67001299999998</v>
      </c>
      <c r="H204">
        <v>332.67001299999998</v>
      </c>
      <c r="I204">
        <f t="shared" si="14"/>
        <v>-18.329987000000017</v>
      </c>
      <c r="J204">
        <v>16717200</v>
      </c>
      <c r="K204">
        <v>-0.172885572139303</v>
      </c>
      <c r="L204">
        <v>-139</v>
      </c>
      <c r="M204">
        <f t="shared" si="15"/>
        <v>-5.2222185185185233E-2</v>
      </c>
      <c r="N204">
        <v>804</v>
      </c>
    </row>
    <row r="205" spans="1:14" x14ac:dyDescent="0.25">
      <c r="A205" s="1">
        <v>43395</v>
      </c>
      <c r="B205" s="1">
        <f t="shared" si="12"/>
        <v>2018</v>
      </c>
      <c r="C205" s="1" t="str">
        <f t="shared" si="13"/>
        <v>Oct</v>
      </c>
      <c r="D205">
        <v>333.10000600000001</v>
      </c>
      <c r="E205">
        <v>335.79998799999998</v>
      </c>
      <c r="F205">
        <v>320.33999599999999</v>
      </c>
      <c r="G205">
        <v>329.540009</v>
      </c>
      <c r="H205">
        <v>329.540009</v>
      </c>
      <c r="I205">
        <f t="shared" si="14"/>
        <v>-3.5599970000000098</v>
      </c>
      <c r="J205">
        <v>17097200</v>
      </c>
      <c r="K205">
        <v>-0.15855354659248899</v>
      </c>
      <c r="L205">
        <v>-114</v>
      </c>
      <c r="M205">
        <f t="shared" si="15"/>
        <v>-1.0687472038052169E-2</v>
      </c>
      <c r="N205">
        <v>719</v>
      </c>
    </row>
    <row r="206" spans="1:14" x14ac:dyDescent="0.25">
      <c r="A206" s="1">
        <v>43396</v>
      </c>
      <c r="B206" s="1">
        <f t="shared" si="12"/>
        <v>2018</v>
      </c>
      <c r="C206" s="1" t="str">
        <f t="shared" si="13"/>
        <v>Oct</v>
      </c>
      <c r="D206">
        <v>318</v>
      </c>
      <c r="E206">
        <v>336.57998700000002</v>
      </c>
      <c r="F206">
        <v>316.76998900000001</v>
      </c>
      <c r="G206">
        <v>333.16000400000001</v>
      </c>
      <c r="H206">
        <v>333.16000400000001</v>
      </c>
      <c r="I206">
        <f t="shared" si="14"/>
        <v>15.160004000000015</v>
      </c>
      <c r="J206">
        <v>14907300</v>
      </c>
      <c r="K206">
        <v>-0.10256410256410201</v>
      </c>
      <c r="L206">
        <v>-52</v>
      </c>
      <c r="M206">
        <f t="shared" si="15"/>
        <v>4.7672968553459164E-2</v>
      </c>
      <c r="N206">
        <v>507</v>
      </c>
    </row>
    <row r="207" spans="1:14" x14ac:dyDescent="0.25">
      <c r="A207" s="1">
        <v>43397</v>
      </c>
      <c r="B207" s="1">
        <f t="shared" si="12"/>
        <v>2018</v>
      </c>
      <c r="C207" s="1" t="str">
        <f t="shared" si="13"/>
        <v>Oct</v>
      </c>
      <c r="D207">
        <v>332.27999899999998</v>
      </c>
      <c r="E207">
        <v>333</v>
      </c>
      <c r="F207">
        <v>300.73001099999999</v>
      </c>
      <c r="G207">
        <v>301.82998700000002</v>
      </c>
      <c r="H207">
        <v>301.82998700000002</v>
      </c>
      <c r="I207">
        <f t="shared" si="14"/>
        <v>-30.450011999999958</v>
      </c>
      <c r="J207">
        <v>19039300</v>
      </c>
      <c r="K207">
        <v>-0.16608391608391601</v>
      </c>
      <c r="L207">
        <v>-95</v>
      </c>
      <c r="M207">
        <f t="shared" si="15"/>
        <v>-9.1639617466111642E-2</v>
      </c>
      <c r="N207">
        <v>572</v>
      </c>
    </row>
    <row r="208" spans="1:14" x14ac:dyDescent="0.25">
      <c r="A208" s="1">
        <v>43398</v>
      </c>
      <c r="B208" s="1">
        <f t="shared" si="12"/>
        <v>2018</v>
      </c>
      <c r="C208" s="1" t="str">
        <f t="shared" si="13"/>
        <v>Oct</v>
      </c>
      <c r="D208">
        <v>307.11999500000002</v>
      </c>
      <c r="E208">
        <v>319.94000199999999</v>
      </c>
      <c r="F208">
        <v>305.25</v>
      </c>
      <c r="G208">
        <v>312.86999500000002</v>
      </c>
      <c r="H208">
        <v>312.86999500000002</v>
      </c>
      <c r="I208">
        <f t="shared" si="14"/>
        <v>5.75</v>
      </c>
      <c r="J208">
        <v>13346900</v>
      </c>
      <c r="K208">
        <v>-0.109048723897911</v>
      </c>
      <c r="L208">
        <v>-47</v>
      </c>
      <c r="M208">
        <f t="shared" si="15"/>
        <v>1.8722323826555153E-2</v>
      </c>
      <c r="N208">
        <v>431</v>
      </c>
    </row>
    <row r="209" spans="1:14" x14ac:dyDescent="0.25">
      <c r="A209" s="1">
        <v>43399</v>
      </c>
      <c r="B209" s="1">
        <f t="shared" si="12"/>
        <v>2018</v>
      </c>
      <c r="C209" s="1" t="str">
        <f t="shared" si="13"/>
        <v>Oct</v>
      </c>
      <c r="D209">
        <v>300.51001000000002</v>
      </c>
      <c r="E209">
        <v>313.98998999999998</v>
      </c>
      <c r="F209">
        <v>292.29998799999998</v>
      </c>
      <c r="G209">
        <v>299.82998700000002</v>
      </c>
      <c r="H209">
        <v>299.82998700000002</v>
      </c>
      <c r="I209">
        <f t="shared" si="14"/>
        <v>-0.6800230000000056</v>
      </c>
      <c r="J209">
        <v>19616000</v>
      </c>
      <c r="K209">
        <v>-0.122448979591836</v>
      </c>
      <c r="L209">
        <v>-60</v>
      </c>
      <c r="M209">
        <f t="shared" si="15"/>
        <v>-2.2628963341354436E-3</v>
      </c>
      <c r="N209">
        <v>490</v>
      </c>
    </row>
    <row r="210" spans="1:14" x14ac:dyDescent="0.25">
      <c r="A210" s="1">
        <v>43402</v>
      </c>
      <c r="B210" s="1">
        <f t="shared" si="12"/>
        <v>2018</v>
      </c>
      <c r="C210" s="1" t="str">
        <f t="shared" si="13"/>
        <v>Oct</v>
      </c>
      <c r="D210">
        <v>305.26001000000002</v>
      </c>
      <c r="E210">
        <v>307.89001500000001</v>
      </c>
      <c r="F210">
        <v>275.39999399999999</v>
      </c>
      <c r="G210">
        <v>284.83999599999999</v>
      </c>
      <c r="H210">
        <v>284.83999599999999</v>
      </c>
      <c r="I210">
        <f t="shared" si="14"/>
        <v>-20.420014000000037</v>
      </c>
      <c r="J210">
        <v>21698800</v>
      </c>
      <c r="K210">
        <v>-0.138225255972696</v>
      </c>
      <c r="L210">
        <v>-81</v>
      </c>
      <c r="M210">
        <f t="shared" si="15"/>
        <v>-6.6893839124227361E-2</v>
      </c>
      <c r="N210">
        <v>586</v>
      </c>
    </row>
    <row r="211" spans="1:14" x14ac:dyDescent="0.25">
      <c r="A211" s="1">
        <v>43403</v>
      </c>
      <c r="B211" s="1">
        <f t="shared" si="12"/>
        <v>2018</v>
      </c>
      <c r="C211" s="1" t="str">
        <f t="shared" si="13"/>
        <v>Oct</v>
      </c>
      <c r="D211">
        <v>275.57000699999998</v>
      </c>
      <c r="E211">
        <v>290.51998900000001</v>
      </c>
      <c r="F211">
        <v>271.209991</v>
      </c>
      <c r="G211">
        <v>285.80999800000001</v>
      </c>
      <c r="H211">
        <v>285.80999800000001</v>
      </c>
      <c r="I211">
        <f t="shared" si="14"/>
        <v>10.239991000000032</v>
      </c>
      <c r="J211">
        <v>23685700</v>
      </c>
      <c r="K211">
        <v>-0.12167300380228099</v>
      </c>
      <c r="L211">
        <v>-64</v>
      </c>
      <c r="M211">
        <f t="shared" si="15"/>
        <v>3.7159308850327942E-2</v>
      </c>
      <c r="N211">
        <v>526</v>
      </c>
    </row>
    <row r="212" spans="1:14" x14ac:dyDescent="0.25">
      <c r="A212" s="1">
        <v>43404</v>
      </c>
      <c r="B212" s="1">
        <f t="shared" si="12"/>
        <v>2018</v>
      </c>
      <c r="C212" s="1" t="str">
        <f t="shared" si="13"/>
        <v>Oct</v>
      </c>
      <c r="D212">
        <v>297.76998900000001</v>
      </c>
      <c r="E212">
        <v>311.5</v>
      </c>
      <c r="F212">
        <v>295.04998799999998</v>
      </c>
      <c r="G212">
        <v>301.77999899999998</v>
      </c>
      <c r="H212">
        <v>301.77999899999998</v>
      </c>
      <c r="I212">
        <f t="shared" si="14"/>
        <v>4.0100099999999657</v>
      </c>
      <c r="J212">
        <v>20360300</v>
      </c>
      <c r="K212">
        <v>-1.85567010309278E-2</v>
      </c>
      <c r="L212">
        <v>-9</v>
      </c>
      <c r="M212">
        <f t="shared" si="15"/>
        <v>1.3466803734878619E-2</v>
      </c>
      <c r="N212">
        <v>485</v>
      </c>
    </row>
    <row r="213" spans="1:14" x14ac:dyDescent="0.25">
      <c r="A213" s="1">
        <v>43405</v>
      </c>
      <c r="B213" s="1">
        <f t="shared" si="12"/>
        <v>2018</v>
      </c>
      <c r="C213" s="1" t="str">
        <f t="shared" si="13"/>
        <v>Nov</v>
      </c>
      <c r="D213">
        <v>304.58999599999999</v>
      </c>
      <c r="E213">
        <v>318.45001200000002</v>
      </c>
      <c r="F213">
        <v>296.67001299999998</v>
      </c>
      <c r="G213">
        <v>317.38000499999998</v>
      </c>
      <c r="H213">
        <v>317.38000499999998</v>
      </c>
      <c r="I213">
        <f t="shared" si="14"/>
        <v>12.790008999999998</v>
      </c>
      <c r="J213">
        <v>15121500</v>
      </c>
      <c r="K213">
        <v>-5.0632911392405E-2</v>
      </c>
      <c r="L213">
        <v>-24</v>
      </c>
      <c r="M213">
        <f t="shared" si="15"/>
        <v>4.1990903076146988E-2</v>
      </c>
      <c r="N213">
        <v>474</v>
      </c>
    </row>
    <row r="214" spans="1:14" x14ac:dyDescent="0.25">
      <c r="A214" s="1">
        <v>43406</v>
      </c>
      <c r="B214" s="1">
        <f t="shared" si="12"/>
        <v>2018</v>
      </c>
      <c r="C214" s="1" t="str">
        <f t="shared" si="13"/>
        <v>Nov</v>
      </c>
      <c r="D214">
        <v>318</v>
      </c>
      <c r="E214">
        <v>321.88000499999998</v>
      </c>
      <c r="F214">
        <v>308.32998700000002</v>
      </c>
      <c r="G214">
        <v>309.10000600000001</v>
      </c>
      <c r="H214">
        <v>309.10000600000001</v>
      </c>
      <c r="I214">
        <f t="shared" si="14"/>
        <v>-8.8999939999999924</v>
      </c>
      <c r="J214">
        <v>13404600</v>
      </c>
      <c r="K214">
        <v>-8.1967213114753995E-2</v>
      </c>
      <c r="L214">
        <v>-30</v>
      </c>
      <c r="M214">
        <f t="shared" si="15"/>
        <v>-2.7987402515723247E-2</v>
      </c>
      <c r="N214">
        <v>366</v>
      </c>
    </row>
    <row r="215" spans="1:14" x14ac:dyDescent="0.25">
      <c r="A215" s="1">
        <v>43409</v>
      </c>
      <c r="B215" s="1">
        <f t="shared" si="12"/>
        <v>2018</v>
      </c>
      <c r="C215" s="1" t="str">
        <f t="shared" si="13"/>
        <v>Nov</v>
      </c>
      <c r="D215">
        <v>311.10000600000001</v>
      </c>
      <c r="E215">
        <v>317.52999899999998</v>
      </c>
      <c r="F215">
        <v>303.73998999999998</v>
      </c>
      <c r="G215">
        <v>315.44000199999999</v>
      </c>
      <c r="H215">
        <v>315.44000199999999</v>
      </c>
      <c r="I215">
        <f t="shared" si="14"/>
        <v>4.3399959999999851</v>
      </c>
      <c r="J215">
        <v>10283000</v>
      </c>
      <c r="K215">
        <v>-1.48809523809523E-2</v>
      </c>
      <c r="L215">
        <v>-5</v>
      </c>
      <c r="M215">
        <f t="shared" si="15"/>
        <v>1.3950485105422933E-2</v>
      </c>
      <c r="N215">
        <v>336</v>
      </c>
    </row>
    <row r="216" spans="1:14" x14ac:dyDescent="0.25">
      <c r="A216" s="1">
        <v>43410</v>
      </c>
      <c r="B216" s="1">
        <f t="shared" si="12"/>
        <v>2018</v>
      </c>
      <c r="C216" s="1" t="str">
        <f t="shared" si="13"/>
        <v>Nov</v>
      </c>
      <c r="D216">
        <v>314.76001000000002</v>
      </c>
      <c r="E216">
        <v>320.22000100000002</v>
      </c>
      <c r="F216">
        <v>305.29998799999998</v>
      </c>
      <c r="G216">
        <v>310.83999599999999</v>
      </c>
      <c r="H216">
        <v>310.83999599999999</v>
      </c>
      <c r="I216">
        <f t="shared" si="14"/>
        <v>-3.9200140000000374</v>
      </c>
      <c r="J216">
        <v>9710400</v>
      </c>
      <c r="K216">
        <v>-2.14067278287461E-2</v>
      </c>
      <c r="L216">
        <v>-7</v>
      </c>
      <c r="M216">
        <f t="shared" si="15"/>
        <v>-1.2453977238087001E-2</v>
      </c>
      <c r="N216">
        <v>327</v>
      </c>
    </row>
    <row r="217" spans="1:14" x14ac:dyDescent="0.25">
      <c r="A217" s="1">
        <v>43411</v>
      </c>
      <c r="B217" s="1">
        <f t="shared" si="12"/>
        <v>2018</v>
      </c>
      <c r="C217" s="1" t="str">
        <f t="shared" si="13"/>
        <v>Nov</v>
      </c>
      <c r="D217">
        <v>312.89999399999999</v>
      </c>
      <c r="E217">
        <v>328.55999800000001</v>
      </c>
      <c r="F217">
        <v>311</v>
      </c>
      <c r="G217">
        <v>327.5</v>
      </c>
      <c r="H217">
        <v>327.5</v>
      </c>
      <c r="I217">
        <f t="shared" si="14"/>
        <v>14.600006000000008</v>
      </c>
      <c r="J217">
        <v>13328300</v>
      </c>
      <c r="K217">
        <v>-6.5533980582524201E-2</v>
      </c>
      <c r="L217">
        <v>-27</v>
      </c>
      <c r="M217">
        <f t="shared" si="15"/>
        <v>4.666029491838216E-2</v>
      </c>
      <c r="N217">
        <v>412</v>
      </c>
    </row>
    <row r="218" spans="1:14" x14ac:dyDescent="0.25">
      <c r="A218" s="1">
        <v>43412</v>
      </c>
      <c r="B218" s="1">
        <f t="shared" si="12"/>
        <v>2018</v>
      </c>
      <c r="C218" s="1" t="str">
        <f t="shared" si="13"/>
        <v>Nov</v>
      </c>
      <c r="D218">
        <v>328</v>
      </c>
      <c r="E218">
        <v>332.04998799999998</v>
      </c>
      <c r="F218">
        <v>316.60998499999999</v>
      </c>
      <c r="G218">
        <v>317.92001299999998</v>
      </c>
      <c r="H218">
        <v>317.92001299999998</v>
      </c>
      <c r="I218">
        <f t="shared" si="14"/>
        <v>-10.079987000000017</v>
      </c>
      <c r="J218">
        <v>11023900</v>
      </c>
      <c r="K218">
        <v>-7.4879227053140096E-2</v>
      </c>
      <c r="L218">
        <v>-31</v>
      </c>
      <c r="M218">
        <f t="shared" si="15"/>
        <v>-3.0731667682926882E-2</v>
      </c>
      <c r="N218">
        <v>414</v>
      </c>
    </row>
    <row r="219" spans="1:14" x14ac:dyDescent="0.25">
      <c r="A219" s="1">
        <v>43413</v>
      </c>
      <c r="B219" s="1">
        <f t="shared" si="12"/>
        <v>2018</v>
      </c>
      <c r="C219" s="1" t="str">
        <f t="shared" si="13"/>
        <v>Nov</v>
      </c>
      <c r="D219">
        <v>311.07000699999998</v>
      </c>
      <c r="E219">
        <v>312.98001099999999</v>
      </c>
      <c r="F219">
        <v>298.01001000000002</v>
      </c>
      <c r="G219">
        <v>303.47000100000002</v>
      </c>
      <c r="H219">
        <v>303.47000100000002</v>
      </c>
      <c r="I219">
        <f t="shared" si="14"/>
        <v>-7.6000059999999507</v>
      </c>
      <c r="J219">
        <v>13480800</v>
      </c>
      <c r="K219">
        <v>-7.9822616407982203E-2</v>
      </c>
      <c r="L219">
        <v>-36</v>
      </c>
      <c r="M219">
        <f t="shared" si="15"/>
        <v>-2.4431818654891892E-2</v>
      </c>
      <c r="N219">
        <v>451</v>
      </c>
    </row>
    <row r="220" spans="1:14" x14ac:dyDescent="0.25">
      <c r="A220" s="1">
        <v>43416</v>
      </c>
      <c r="B220" s="1">
        <f t="shared" si="12"/>
        <v>2018</v>
      </c>
      <c r="C220" s="1" t="str">
        <f t="shared" si="13"/>
        <v>Nov</v>
      </c>
      <c r="D220">
        <v>300</v>
      </c>
      <c r="E220">
        <v>302.48998999999998</v>
      </c>
      <c r="F220">
        <v>290.63000499999998</v>
      </c>
      <c r="G220">
        <v>294.07000699999998</v>
      </c>
      <c r="H220">
        <v>294.07000699999998</v>
      </c>
      <c r="I220">
        <f t="shared" si="14"/>
        <v>-5.9299930000000245</v>
      </c>
      <c r="J220">
        <v>10924800</v>
      </c>
      <c r="K220">
        <v>-3.8585209003215402E-2</v>
      </c>
      <c r="L220">
        <v>-12</v>
      </c>
      <c r="M220">
        <f t="shared" si="15"/>
        <v>-1.9766643333333413E-2</v>
      </c>
      <c r="N220">
        <v>311</v>
      </c>
    </row>
    <row r="221" spans="1:14" x14ac:dyDescent="0.25">
      <c r="A221" s="1">
        <v>43417</v>
      </c>
      <c r="B221" s="1">
        <f t="shared" si="12"/>
        <v>2018</v>
      </c>
      <c r="C221" s="1" t="str">
        <f t="shared" si="13"/>
        <v>Nov</v>
      </c>
      <c r="D221">
        <v>295</v>
      </c>
      <c r="E221">
        <v>303.54998799999998</v>
      </c>
      <c r="F221">
        <v>289.10000600000001</v>
      </c>
      <c r="G221">
        <v>294.39999399999999</v>
      </c>
      <c r="H221">
        <v>294.39999399999999</v>
      </c>
      <c r="I221">
        <f t="shared" si="14"/>
        <v>-0.60000600000000759</v>
      </c>
      <c r="J221">
        <v>12232200</v>
      </c>
      <c r="K221">
        <v>-7.2847682119205295E-2</v>
      </c>
      <c r="L221">
        <v>-22</v>
      </c>
      <c r="M221">
        <f t="shared" si="15"/>
        <v>-2.0339186440678225E-3</v>
      </c>
      <c r="N221">
        <v>302</v>
      </c>
    </row>
    <row r="222" spans="1:14" x14ac:dyDescent="0.25">
      <c r="A222" s="1">
        <v>43418</v>
      </c>
      <c r="B222" s="1">
        <f t="shared" si="12"/>
        <v>2018</v>
      </c>
      <c r="C222" s="1" t="str">
        <f t="shared" si="13"/>
        <v>Nov</v>
      </c>
      <c r="D222">
        <v>300.39999399999999</v>
      </c>
      <c r="E222">
        <v>301.83999599999999</v>
      </c>
      <c r="F222">
        <v>278.29998799999998</v>
      </c>
      <c r="G222">
        <v>286.73001099999999</v>
      </c>
      <c r="H222">
        <v>286.73001099999999</v>
      </c>
      <c r="I222">
        <f t="shared" si="14"/>
        <v>-13.669983000000002</v>
      </c>
      <c r="J222">
        <v>16853600</v>
      </c>
      <c r="K222">
        <v>-0.115555555555555</v>
      </c>
      <c r="L222">
        <v>-52</v>
      </c>
      <c r="M222">
        <f t="shared" si="15"/>
        <v>-4.5505936328347603E-2</v>
      </c>
      <c r="N222">
        <v>450</v>
      </c>
    </row>
    <row r="223" spans="1:14" x14ac:dyDescent="0.25">
      <c r="A223" s="1">
        <v>43419</v>
      </c>
      <c r="B223" s="1">
        <f t="shared" si="12"/>
        <v>2018</v>
      </c>
      <c r="C223" s="1" t="str">
        <f t="shared" si="13"/>
        <v>Nov</v>
      </c>
      <c r="D223">
        <v>285.51001000000002</v>
      </c>
      <c r="E223">
        <v>292.5</v>
      </c>
      <c r="F223">
        <v>282.16000400000001</v>
      </c>
      <c r="G223">
        <v>290.05999800000001</v>
      </c>
      <c r="H223">
        <v>290.05999800000001</v>
      </c>
      <c r="I223">
        <f t="shared" si="14"/>
        <v>4.5499879999999848</v>
      </c>
      <c r="J223">
        <v>9967100</v>
      </c>
      <c r="K223">
        <v>-6.25E-2</v>
      </c>
      <c r="L223">
        <v>-19</v>
      </c>
      <c r="M223">
        <f t="shared" si="15"/>
        <v>1.5936351933860338E-2</v>
      </c>
      <c r="N223">
        <v>304</v>
      </c>
    </row>
    <row r="224" spans="1:14" x14ac:dyDescent="0.25">
      <c r="A224" s="1">
        <v>43420</v>
      </c>
      <c r="B224" s="1">
        <f t="shared" si="12"/>
        <v>2018</v>
      </c>
      <c r="C224" s="1" t="str">
        <f t="shared" si="13"/>
        <v>Nov</v>
      </c>
      <c r="D224">
        <v>287.14001500000001</v>
      </c>
      <c r="E224">
        <v>291.72000100000002</v>
      </c>
      <c r="F224">
        <v>281</v>
      </c>
      <c r="G224">
        <v>286.209991</v>
      </c>
      <c r="H224">
        <v>286.209991</v>
      </c>
      <c r="I224">
        <f t="shared" si="14"/>
        <v>-0.93002400000000307</v>
      </c>
      <c r="J224">
        <v>9099500</v>
      </c>
      <c r="K224">
        <v>-0.19421487603305701</v>
      </c>
      <c r="L224">
        <v>-47</v>
      </c>
      <c r="M224">
        <f t="shared" si="15"/>
        <v>-3.2389216111171513E-3</v>
      </c>
      <c r="N224">
        <v>242</v>
      </c>
    </row>
    <row r="225" spans="1:14" x14ac:dyDescent="0.25">
      <c r="A225" s="1">
        <v>43423</v>
      </c>
      <c r="B225" s="1">
        <f t="shared" si="12"/>
        <v>2018</v>
      </c>
      <c r="C225" s="1" t="str">
        <f t="shared" si="13"/>
        <v>Nov</v>
      </c>
      <c r="D225">
        <v>283.790009</v>
      </c>
      <c r="E225">
        <v>285.08999599999999</v>
      </c>
      <c r="F225">
        <v>269.14999399999999</v>
      </c>
      <c r="G225">
        <v>270.60000600000001</v>
      </c>
      <c r="H225">
        <v>270.60000600000001</v>
      </c>
      <c r="I225">
        <f t="shared" si="14"/>
        <v>-13.19000299999999</v>
      </c>
      <c r="J225">
        <v>12993800</v>
      </c>
      <c r="K225">
        <v>-0.128540305010893</v>
      </c>
      <c r="L225">
        <v>-59</v>
      </c>
      <c r="M225">
        <f t="shared" si="15"/>
        <v>-4.6478038626088458E-2</v>
      </c>
      <c r="N225">
        <v>459</v>
      </c>
    </row>
    <row r="226" spans="1:14" x14ac:dyDescent="0.25">
      <c r="A226" s="1">
        <v>43424</v>
      </c>
      <c r="B226" s="1">
        <f t="shared" si="12"/>
        <v>2018</v>
      </c>
      <c r="C226" s="1" t="str">
        <f t="shared" si="13"/>
        <v>Nov</v>
      </c>
      <c r="D226">
        <v>254.63000500000001</v>
      </c>
      <c r="E226">
        <v>276.33999599999999</v>
      </c>
      <c r="F226">
        <v>250</v>
      </c>
      <c r="G226">
        <v>266.98001099999999</v>
      </c>
      <c r="H226">
        <v>266.98001099999999</v>
      </c>
      <c r="I226">
        <f t="shared" si="14"/>
        <v>12.350005999999979</v>
      </c>
      <c r="J226">
        <v>16693800</v>
      </c>
      <c r="K226">
        <v>-0.129087779690189</v>
      </c>
      <c r="L226">
        <v>-75</v>
      </c>
      <c r="M226">
        <f t="shared" si="15"/>
        <v>4.8501770245026617E-2</v>
      </c>
      <c r="N226">
        <v>581</v>
      </c>
    </row>
    <row r="227" spans="1:14" x14ac:dyDescent="0.25">
      <c r="A227" s="1">
        <v>43425</v>
      </c>
      <c r="B227" s="1">
        <f t="shared" si="12"/>
        <v>2018</v>
      </c>
      <c r="C227" s="1" t="str">
        <f t="shared" si="13"/>
        <v>Nov</v>
      </c>
      <c r="D227">
        <v>274.42001299999998</v>
      </c>
      <c r="E227">
        <v>275.33999599999999</v>
      </c>
      <c r="F227">
        <v>261.51001000000002</v>
      </c>
      <c r="G227">
        <v>262.13000499999998</v>
      </c>
      <c r="H227">
        <v>262.13000499999998</v>
      </c>
      <c r="I227">
        <f t="shared" si="14"/>
        <v>-12.290008</v>
      </c>
      <c r="J227">
        <v>11023000</v>
      </c>
      <c r="K227">
        <v>-9.2783505154639095E-2</v>
      </c>
      <c r="L227">
        <v>-36</v>
      </c>
      <c r="M227">
        <f t="shared" si="15"/>
        <v>-4.4785392528933383E-2</v>
      </c>
      <c r="N227">
        <v>388</v>
      </c>
    </row>
    <row r="228" spans="1:14" x14ac:dyDescent="0.25">
      <c r="A228" s="1">
        <v>43427</v>
      </c>
      <c r="B228" s="1">
        <f t="shared" si="12"/>
        <v>2018</v>
      </c>
      <c r="C228" s="1" t="str">
        <f t="shared" si="13"/>
        <v>Nov</v>
      </c>
      <c r="D228">
        <v>260.10998499999999</v>
      </c>
      <c r="E228">
        <v>265.5</v>
      </c>
      <c r="F228">
        <v>256.83999599999999</v>
      </c>
      <c r="G228">
        <v>258.82000699999998</v>
      </c>
      <c r="H228">
        <v>258.82000699999998</v>
      </c>
      <c r="I228">
        <f t="shared" si="14"/>
        <v>-1.2899780000000192</v>
      </c>
      <c r="J228">
        <v>5245100</v>
      </c>
      <c r="K228">
        <v>-0.112</v>
      </c>
      <c r="L228">
        <v>-28</v>
      </c>
      <c r="M228">
        <f t="shared" si="15"/>
        <v>-4.9593559432177092E-3</v>
      </c>
      <c r="N228">
        <v>250</v>
      </c>
    </row>
    <row r="229" spans="1:14" x14ac:dyDescent="0.25">
      <c r="A229" s="1">
        <v>43430</v>
      </c>
      <c r="B229" s="1">
        <f t="shared" si="12"/>
        <v>2018</v>
      </c>
      <c r="C229" s="1" t="str">
        <f t="shared" si="13"/>
        <v>Nov</v>
      </c>
      <c r="D229">
        <v>260.54998799999998</v>
      </c>
      <c r="E229">
        <v>266.25</v>
      </c>
      <c r="F229">
        <v>253.800003</v>
      </c>
      <c r="G229">
        <v>261.42999300000002</v>
      </c>
      <c r="H229">
        <v>261.42999300000002</v>
      </c>
      <c r="I229">
        <f t="shared" si="14"/>
        <v>0.88000500000003967</v>
      </c>
      <c r="J229">
        <v>12498600</v>
      </c>
      <c r="K229">
        <v>-7.9411764705882307E-2</v>
      </c>
      <c r="L229">
        <v>-27</v>
      </c>
      <c r="M229">
        <f t="shared" si="15"/>
        <v>3.3774900807135703E-3</v>
      </c>
      <c r="N229">
        <v>340</v>
      </c>
    </row>
    <row r="230" spans="1:14" x14ac:dyDescent="0.25">
      <c r="A230" s="1">
        <v>43431</v>
      </c>
      <c r="B230" s="1">
        <f t="shared" si="12"/>
        <v>2018</v>
      </c>
      <c r="C230" s="1" t="str">
        <f t="shared" si="13"/>
        <v>Nov</v>
      </c>
      <c r="D230">
        <v>259.23998999999998</v>
      </c>
      <c r="E230">
        <v>269.07998700000002</v>
      </c>
      <c r="F230">
        <v>256.14001500000001</v>
      </c>
      <c r="G230">
        <v>266.63000499999998</v>
      </c>
      <c r="H230">
        <v>266.63000499999998</v>
      </c>
      <c r="I230">
        <f t="shared" si="14"/>
        <v>7.3900150000000053</v>
      </c>
      <c r="J230">
        <v>11149500</v>
      </c>
      <c r="K230">
        <v>-3.7533512064343098E-2</v>
      </c>
      <c r="L230">
        <v>-14</v>
      </c>
      <c r="M230">
        <f t="shared" si="15"/>
        <v>2.8506462293876829E-2</v>
      </c>
      <c r="N230">
        <v>373</v>
      </c>
    </row>
    <row r="231" spans="1:14" x14ac:dyDescent="0.25">
      <c r="A231" s="1">
        <v>43432</v>
      </c>
      <c r="B231" s="1">
        <f t="shared" si="12"/>
        <v>2018</v>
      </c>
      <c r="C231" s="1" t="str">
        <f t="shared" si="13"/>
        <v>Nov</v>
      </c>
      <c r="D231">
        <v>271.98001099999999</v>
      </c>
      <c r="E231">
        <v>284</v>
      </c>
      <c r="F231">
        <v>263.33999599999999</v>
      </c>
      <c r="G231">
        <v>282.64999399999999</v>
      </c>
      <c r="H231">
        <v>282.64999399999999</v>
      </c>
      <c r="I231">
        <f t="shared" si="14"/>
        <v>10.669983000000002</v>
      </c>
      <c r="J231">
        <v>14801300</v>
      </c>
      <c r="K231">
        <v>-2.1505376344085999E-2</v>
      </c>
      <c r="L231">
        <v>-10</v>
      </c>
      <c r="M231">
        <f t="shared" si="15"/>
        <v>3.9230761704763674E-2</v>
      </c>
      <c r="N231">
        <v>465</v>
      </c>
    </row>
    <row r="232" spans="1:14" x14ac:dyDescent="0.25">
      <c r="A232" s="1">
        <v>43433</v>
      </c>
      <c r="B232" s="1">
        <f t="shared" si="12"/>
        <v>2018</v>
      </c>
      <c r="C232" s="1" t="str">
        <f t="shared" si="13"/>
        <v>Nov</v>
      </c>
      <c r="D232">
        <v>282.32000699999998</v>
      </c>
      <c r="E232">
        <v>290.48998999999998</v>
      </c>
      <c r="F232">
        <v>275.5</v>
      </c>
      <c r="G232">
        <v>288.75</v>
      </c>
      <c r="H232">
        <v>288.75</v>
      </c>
      <c r="I232">
        <f t="shared" si="14"/>
        <v>6.4299930000000245</v>
      </c>
      <c r="J232">
        <v>15431500</v>
      </c>
      <c r="K232">
        <v>-2.0253164556962001E-2</v>
      </c>
      <c r="L232">
        <v>-8</v>
      </c>
      <c r="M232">
        <f t="shared" si="15"/>
        <v>2.2775548457676344E-2</v>
      </c>
      <c r="N232">
        <v>395</v>
      </c>
    </row>
    <row r="233" spans="1:14" x14ac:dyDescent="0.25">
      <c r="A233" s="1">
        <v>43434</v>
      </c>
      <c r="B233" s="1">
        <f t="shared" si="12"/>
        <v>2018</v>
      </c>
      <c r="C233" s="1" t="str">
        <f t="shared" si="13"/>
        <v>Nov</v>
      </c>
      <c r="D233">
        <v>288</v>
      </c>
      <c r="E233">
        <v>290.80999800000001</v>
      </c>
      <c r="F233">
        <v>283.05999800000001</v>
      </c>
      <c r="G233">
        <v>286.13000499999998</v>
      </c>
      <c r="H233">
        <v>286.13000499999998</v>
      </c>
      <c r="I233">
        <f t="shared" si="14"/>
        <v>-1.8699950000000172</v>
      </c>
      <c r="J233">
        <v>11860100</v>
      </c>
      <c r="K233">
        <v>-9.1205211726384294E-2</v>
      </c>
      <c r="L233">
        <v>-28</v>
      </c>
      <c r="M233">
        <f t="shared" si="15"/>
        <v>-6.4930381944445044E-3</v>
      </c>
      <c r="N233">
        <v>307</v>
      </c>
    </row>
    <row r="234" spans="1:14" x14ac:dyDescent="0.25">
      <c r="A234" s="1">
        <v>43437</v>
      </c>
      <c r="B234" s="1">
        <f t="shared" si="12"/>
        <v>2018</v>
      </c>
      <c r="C234" s="1" t="str">
        <f t="shared" si="13"/>
        <v>Dec</v>
      </c>
      <c r="D234">
        <v>293.19000199999999</v>
      </c>
      <c r="E234">
        <v>298.72000100000002</v>
      </c>
      <c r="F234">
        <v>284.57998700000002</v>
      </c>
      <c r="G234">
        <v>290.29998799999998</v>
      </c>
      <c r="H234">
        <v>290.29998799999998</v>
      </c>
      <c r="I234">
        <f t="shared" si="14"/>
        <v>-2.8900140000000079</v>
      </c>
      <c r="J234">
        <v>14117400</v>
      </c>
      <c r="K234">
        <v>-0.102702702702702</v>
      </c>
      <c r="L234">
        <v>-38</v>
      </c>
      <c r="M234">
        <f t="shared" si="15"/>
        <v>-9.857136942889368E-3</v>
      </c>
      <c r="N234">
        <v>370</v>
      </c>
    </row>
    <row r="235" spans="1:14" x14ac:dyDescent="0.25">
      <c r="A235" s="1">
        <v>43438</v>
      </c>
      <c r="B235" s="1">
        <f t="shared" si="12"/>
        <v>2018</v>
      </c>
      <c r="C235" s="1" t="str">
        <f t="shared" si="13"/>
        <v>Dec</v>
      </c>
      <c r="D235">
        <v>288.13000499999998</v>
      </c>
      <c r="E235">
        <v>295.73998999999998</v>
      </c>
      <c r="F235">
        <v>274.72000100000002</v>
      </c>
      <c r="G235">
        <v>275.32998700000002</v>
      </c>
      <c r="H235">
        <v>275.32998700000002</v>
      </c>
      <c r="I235">
        <f t="shared" si="14"/>
        <v>-12.800017999999966</v>
      </c>
      <c r="J235">
        <v>12800600</v>
      </c>
      <c r="K235">
        <v>-0.108433734939759</v>
      </c>
      <c r="L235">
        <v>-36</v>
      </c>
      <c r="M235">
        <f t="shared" si="15"/>
        <v>-4.4424453468495814E-2</v>
      </c>
      <c r="N235">
        <v>332</v>
      </c>
    </row>
    <row r="236" spans="1:14" x14ac:dyDescent="0.25">
      <c r="A236" s="1">
        <v>43440</v>
      </c>
      <c r="B236" s="1">
        <f t="shared" si="12"/>
        <v>2018</v>
      </c>
      <c r="C236" s="1" t="str">
        <f t="shared" si="13"/>
        <v>Dec</v>
      </c>
      <c r="D236">
        <v>268.32998700000002</v>
      </c>
      <c r="E236">
        <v>283.22000100000002</v>
      </c>
      <c r="F236">
        <v>267.14001500000001</v>
      </c>
      <c r="G236">
        <v>282.88000499999998</v>
      </c>
      <c r="H236">
        <v>282.88000499999998</v>
      </c>
      <c r="I236">
        <f t="shared" si="14"/>
        <v>14.550017999999966</v>
      </c>
      <c r="J236">
        <v>13074300</v>
      </c>
      <c r="K236">
        <v>-6.9230769230769207E-2</v>
      </c>
      <c r="L236">
        <v>-27</v>
      </c>
      <c r="M236">
        <f t="shared" si="15"/>
        <v>5.4224345786592854E-2</v>
      </c>
      <c r="N236">
        <v>390</v>
      </c>
    </row>
    <row r="237" spans="1:14" x14ac:dyDescent="0.25">
      <c r="A237" s="1">
        <v>43441</v>
      </c>
      <c r="B237" s="1">
        <f t="shared" si="12"/>
        <v>2018</v>
      </c>
      <c r="C237" s="1" t="str">
        <f t="shared" si="13"/>
        <v>Dec</v>
      </c>
      <c r="D237">
        <v>282.48001099999999</v>
      </c>
      <c r="E237">
        <v>284.209991</v>
      </c>
      <c r="F237">
        <v>263.38000499999998</v>
      </c>
      <c r="G237">
        <v>265.14001500000001</v>
      </c>
      <c r="H237">
        <v>265.14001500000001</v>
      </c>
      <c r="I237">
        <f t="shared" si="14"/>
        <v>-17.339995999999985</v>
      </c>
      <c r="J237">
        <v>12466700</v>
      </c>
      <c r="K237">
        <v>-0.116040955631399</v>
      </c>
      <c r="L237">
        <v>-34</v>
      </c>
      <c r="M237">
        <f t="shared" si="15"/>
        <v>-6.138486025476679E-2</v>
      </c>
      <c r="N237">
        <v>293</v>
      </c>
    </row>
    <row r="238" spans="1:14" x14ac:dyDescent="0.25">
      <c r="A238" s="1">
        <v>43444</v>
      </c>
      <c r="B238" s="1">
        <f t="shared" si="12"/>
        <v>2018</v>
      </c>
      <c r="C238" s="1" t="str">
        <f t="shared" si="13"/>
        <v>Dec</v>
      </c>
      <c r="D238">
        <v>264.19000199999999</v>
      </c>
      <c r="E238">
        <v>271.17999300000002</v>
      </c>
      <c r="F238">
        <v>260.60998499999999</v>
      </c>
      <c r="G238">
        <v>269.70001200000002</v>
      </c>
      <c r="H238">
        <v>269.70001200000002</v>
      </c>
      <c r="I238">
        <f t="shared" si="14"/>
        <v>5.5100100000000225</v>
      </c>
      <c r="J238">
        <v>9605600</v>
      </c>
      <c r="K238">
        <v>-0.109540636042402</v>
      </c>
      <c r="L238">
        <v>-31</v>
      </c>
      <c r="M238">
        <f t="shared" si="15"/>
        <v>2.085623966950885E-2</v>
      </c>
      <c r="N238">
        <v>283</v>
      </c>
    </row>
    <row r="239" spans="1:14" x14ac:dyDescent="0.25">
      <c r="A239" s="1">
        <v>43445</v>
      </c>
      <c r="B239" s="1">
        <f t="shared" si="12"/>
        <v>2018</v>
      </c>
      <c r="C239" s="1" t="str">
        <f t="shared" si="13"/>
        <v>Dec</v>
      </c>
      <c r="D239">
        <v>274.07998700000002</v>
      </c>
      <c r="E239">
        <v>274.5</v>
      </c>
      <c r="F239">
        <v>262.76001000000002</v>
      </c>
      <c r="G239">
        <v>265.32000699999998</v>
      </c>
      <c r="H239">
        <v>265.32000699999998</v>
      </c>
      <c r="I239">
        <f t="shared" si="14"/>
        <v>-8.7599800000000414</v>
      </c>
      <c r="J239">
        <v>9843200</v>
      </c>
      <c r="K239">
        <v>-0.173633440514469</v>
      </c>
      <c r="L239">
        <v>-54</v>
      </c>
      <c r="M239">
        <f t="shared" si="15"/>
        <v>-3.1961399647906584E-2</v>
      </c>
      <c r="N239">
        <v>311</v>
      </c>
    </row>
    <row r="240" spans="1:14" x14ac:dyDescent="0.25">
      <c r="A240" s="1">
        <v>43446</v>
      </c>
      <c r="B240" s="1">
        <f t="shared" si="12"/>
        <v>2018</v>
      </c>
      <c r="C240" s="1" t="str">
        <f t="shared" si="13"/>
        <v>Dec</v>
      </c>
      <c r="D240">
        <v>267.66000400000001</v>
      </c>
      <c r="E240">
        <v>281.76998900000001</v>
      </c>
      <c r="F240">
        <v>266.48001099999999</v>
      </c>
      <c r="G240">
        <v>274.88000499999998</v>
      </c>
      <c r="H240">
        <v>274.88000499999998</v>
      </c>
      <c r="I240">
        <f t="shared" si="14"/>
        <v>7.2200009999999679</v>
      </c>
      <c r="J240">
        <v>11456700</v>
      </c>
      <c r="K240">
        <v>-5.0772626931567297E-2</v>
      </c>
      <c r="L240">
        <v>-23</v>
      </c>
      <c r="M240">
        <f t="shared" si="15"/>
        <v>2.69745232462896E-2</v>
      </c>
      <c r="N240">
        <v>453</v>
      </c>
    </row>
    <row r="241" spans="1:14" x14ac:dyDescent="0.25">
      <c r="A241" s="1">
        <v>43447</v>
      </c>
      <c r="B241" s="1">
        <f t="shared" si="12"/>
        <v>2018</v>
      </c>
      <c r="C241" s="1" t="str">
        <f t="shared" si="13"/>
        <v>Dec</v>
      </c>
      <c r="D241">
        <v>277.64001500000001</v>
      </c>
      <c r="E241">
        <v>279.32000699999998</v>
      </c>
      <c r="F241">
        <v>271.85000600000001</v>
      </c>
      <c r="G241">
        <v>276.01998900000001</v>
      </c>
      <c r="H241">
        <v>276.01998900000001</v>
      </c>
      <c r="I241">
        <f t="shared" si="14"/>
        <v>-1.6200259999999957</v>
      </c>
      <c r="J241">
        <v>8379300</v>
      </c>
      <c r="K241">
        <v>-0.126811594202898</v>
      </c>
      <c r="L241">
        <v>-35</v>
      </c>
      <c r="M241">
        <f t="shared" si="15"/>
        <v>-5.8349874386802482E-3</v>
      </c>
      <c r="N241">
        <v>276</v>
      </c>
    </row>
    <row r="242" spans="1:14" x14ac:dyDescent="0.25">
      <c r="A242" s="1">
        <v>43448</v>
      </c>
      <c r="B242" s="1">
        <f t="shared" si="12"/>
        <v>2018</v>
      </c>
      <c r="C242" s="1" t="str">
        <f t="shared" si="13"/>
        <v>Dec</v>
      </c>
      <c r="D242">
        <v>271.80999800000001</v>
      </c>
      <c r="E242">
        <v>277.67001299999998</v>
      </c>
      <c r="F242">
        <v>265</v>
      </c>
      <c r="G242">
        <v>266.83999599999999</v>
      </c>
      <c r="H242">
        <v>266.83999599999999</v>
      </c>
      <c r="I242">
        <f t="shared" si="14"/>
        <v>-4.9700020000000222</v>
      </c>
      <c r="J242">
        <v>9915300</v>
      </c>
      <c r="K242">
        <v>-0.13028169014084501</v>
      </c>
      <c r="L242">
        <v>-37</v>
      </c>
      <c r="M242">
        <f t="shared" si="15"/>
        <v>-1.8284838808615207E-2</v>
      </c>
      <c r="N242">
        <v>284</v>
      </c>
    </row>
    <row r="243" spans="1:14" x14ac:dyDescent="0.25">
      <c r="A243" s="1">
        <v>43451</v>
      </c>
      <c r="B243" s="1">
        <f t="shared" si="12"/>
        <v>2018</v>
      </c>
      <c r="C243" s="1" t="str">
        <f t="shared" si="13"/>
        <v>Dec</v>
      </c>
      <c r="D243">
        <v>266.51001000000002</v>
      </c>
      <c r="E243">
        <v>272.98001099999999</v>
      </c>
      <c r="F243">
        <v>261.07998700000002</v>
      </c>
      <c r="G243">
        <v>262.79998799999998</v>
      </c>
      <c r="H243">
        <v>262.79998799999998</v>
      </c>
      <c r="I243">
        <f t="shared" si="14"/>
        <v>-3.7100220000000377</v>
      </c>
      <c r="J243">
        <v>9634700</v>
      </c>
      <c r="K243">
        <v>-9.7402597402597393E-2</v>
      </c>
      <c r="L243">
        <v>-30</v>
      </c>
      <c r="M243">
        <f t="shared" si="15"/>
        <v>-1.3920760424721148E-2</v>
      </c>
      <c r="N243">
        <v>308</v>
      </c>
    </row>
    <row r="244" spans="1:14" x14ac:dyDescent="0.25">
      <c r="A244" s="1">
        <v>43452</v>
      </c>
      <c r="B244" s="1">
        <f t="shared" si="12"/>
        <v>2018</v>
      </c>
      <c r="C244" s="1" t="str">
        <f t="shared" si="13"/>
        <v>Dec</v>
      </c>
      <c r="D244">
        <v>263.29998799999998</v>
      </c>
      <c r="E244">
        <v>275.75</v>
      </c>
      <c r="F244">
        <v>263.290009</v>
      </c>
      <c r="G244">
        <v>270.94000199999999</v>
      </c>
      <c r="H244">
        <v>270.94000199999999</v>
      </c>
      <c r="I244">
        <f t="shared" si="14"/>
        <v>7.6400140000000079</v>
      </c>
      <c r="J244">
        <v>10350100</v>
      </c>
      <c r="K244">
        <v>-6.9306930693069299E-2</v>
      </c>
      <c r="L244">
        <v>-28</v>
      </c>
      <c r="M244">
        <f t="shared" si="15"/>
        <v>2.901638567488278E-2</v>
      </c>
      <c r="N244">
        <v>404</v>
      </c>
    </row>
    <row r="245" spans="1:14" x14ac:dyDescent="0.25">
      <c r="A245" s="1">
        <v>43453</v>
      </c>
      <c r="B245" s="1">
        <f t="shared" si="12"/>
        <v>2018</v>
      </c>
      <c r="C245" s="1" t="str">
        <f t="shared" si="13"/>
        <v>Dec</v>
      </c>
      <c r="D245">
        <v>269.959991</v>
      </c>
      <c r="E245">
        <v>280.86999500000002</v>
      </c>
      <c r="F245">
        <v>263.76998900000001</v>
      </c>
      <c r="G245">
        <v>266.76998900000001</v>
      </c>
      <c r="H245">
        <v>266.76998900000001</v>
      </c>
      <c r="I245">
        <f t="shared" si="14"/>
        <v>-3.1900019999999927</v>
      </c>
      <c r="J245">
        <v>13788400</v>
      </c>
      <c r="K245">
        <v>-7.8886310904872303E-2</v>
      </c>
      <c r="L245">
        <v>-34</v>
      </c>
      <c r="M245">
        <f t="shared" si="15"/>
        <v>-1.1816573219547903E-2</v>
      </c>
      <c r="N245">
        <v>431</v>
      </c>
    </row>
    <row r="246" spans="1:14" x14ac:dyDescent="0.25">
      <c r="A246" s="1">
        <v>43454</v>
      </c>
      <c r="B246" s="1">
        <f t="shared" si="12"/>
        <v>2018</v>
      </c>
      <c r="C246" s="1" t="str">
        <f t="shared" si="13"/>
        <v>Dec</v>
      </c>
      <c r="D246">
        <v>264.64001500000001</v>
      </c>
      <c r="E246">
        <v>269.89999399999999</v>
      </c>
      <c r="F246">
        <v>251.88000500000001</v>
      </c>
      <c r="G246">
        <v>260.57998700000002</v>
      </c>
      <c r="H246">
        <v>260.57998700000002</v>
      </c>
      <c r="I246">
        <f t="shared" si="14"/>
        <v>-4.0600279999999884</v>
      </c>
      <c r="J246">
        <v>16792900</v>
      </c>
      <c r="K246">
        <v>-0.16432865731462901</v>
      </c>
      <c r="L246">
        <v>-82</v>
      </c>
      <c r="M246">
        <f t="shared" si="15"/>
        <v>-1.5341701065124216E-2</v>
      </c>
      <c r="N246">
        <v>499</v>
      </c>
    </row>
    <row r="247" spans="1:14" x14ac:dyDescent="0.25">
      <c r="A247" s="1">
        <v>43455</v>
      </c>
      <c r="B247" s="1">
        <f t="shared" si="12"/>
        <v>2018</v>
      </c>
      <c r="C247" s="1" t="str">
        <f t="shared" si="13"/>
        <v>Dec</v>
      </c>
      <c r="D247">
        <v>263.82998700000002</v>
      </c>
      <c r="E247">
        <v>264.5</v>
      </c>
      <c r="F247">
        <v>241.28999300000001</v>
      </c>
      <c r="G247">
        <v>246.38999899999999</v>
      </c>
      <c r="H247">
        <v>246.38999899999999</v>
      </c>
      <c r="I247">
        <f t="shared" si="14"/>
        <v>-17.439988000000028</v>
      </c>
      <c r="J247">
        <v>21397600</v>
      </c>
      <c r="K247">
        <v>-0.16299559471365599</v>
      </c>
      <c r="L247">
        <v>-74</v>
      </c>
      <c r="M247">
        <f t="shared" si="15"/>
        <v>-6.6103130270783156E-2</v>
      </c>
      <c r="N247">
        <v>454</v>
      </c>
    </row>
    <row r="248" spans="1:14" x14ac:dyDescent="0.25">
      <c r="A248" s="1">
        <v>43458</v>
      </c>
      <c r="B248" s="1">
        <f t="shared" si="12"/>
        <v>2018</v>
      </c>
      <c r="C248" s="1" t="str">
        <f t="shared" si="13"/>
        <v>Dec</v>
      </c>
      <c r="D248">
        <v>242</v>
      </c>
      <c r="E248">
        <v>250.64999399999999</v>
      </c>
      <c r="F248">
        <v>233.679993</v>
      </c>
      <c r="G248">
        <v>233.88000500000001</v>
      </c>
      <c r="H248">
        <v>233.88000500000001</v>
      </c>
      <c r="I248">
        <f t="shared" si="14"/>
        <v>-8.1199949999999887</v>
      </c>
      <c r="J248">
        <v>9547600</v>
      </c>
      <c r="K248">
        <v>-0.10891089108910799</v>
      </c>
      <c r="L248">
        <v>-33</v>
      </c>
      <c r="M248">
        <f t="shared" si="15"/>
        <v>-3.3553698347107391E-2</v>
      </c>
      <c r="N248">
        <v>303</v>
      </c>
    </row>
    <row r="249" spans="1:14" x14ac:dyDescent="0.25">
      <c r="A249" s="1">
        <v>43460</v>
      </c>
      <c r="B249" s="1">
        <f t="shared" si="12"/>
        <v>2018</v>
      </c>
      <c r="C249" s="1" t="str">
        <f t="shared" si="13"/>
        <v>Dec</v>
      </c>
      <c r="D249">
        <v>233.91999799999999</v>
      </c>
      <c r="E249">
        <v>254.5</v>
      </c>
      <c r="F249">
        <v>231.229996</v>
      </c>
      <c r="G249">
        <v>253.66999799999999</v>
      </c>
      <c r="H249">
        <v>253.66999799999999</v>
      </c>
      <c r="I249">
        <f t="shared" si="14"/>
        <v>19.75</v>
      </c>
      <c r="J249">
        <v>14402700</v>
      </c>
      <c r="K249">
        <v>-6.9696969696969702E-2</v>
      </c>
      <c r="L249">
        <v>-23</v>
      </c>
      <c r="M249">
        <f t="shared" si="15"/>
        <v>8.4430575277279207E-2</v>
      </c>
      <c r="N249">
        <v>330</v>
      </c>
    </row>
    <row r="250" spans="1:14" x14ac:dyDescent="0.25">
      <c r="A250" s="1">
        <v>43461</v>
      </c>
      <c r="B250" s="1">
        <f t="shared" si="12"/>
        <v>2018</v>
      </c>
      <c r="C250" s="1" t="str">
        <f t="shared" si="13"/>
        <v>Dec</v>
      </c>
      <c r="D250">
        <v>250.11000100000001</v>
      </c>
      <c r="E250">
        <v>255.58999600000001</v>
      </c>
      <c r="F250">
        <v>240.10000600000001</v>
      </c>
      <c r="G250">
        <v>255.570007</v>
      </c>
      <c r="H250">
        <v>255.570007</v>
      </c>
      <c r="I250">
        <f t="shared" si="14"/>
        <v>5.4600059999999928</v>
      </c>
      <c r="J250">
        <v>12235200</v>
      </c>
      <c r="K250">
        <v>-8.8825214899713401E-2</v>
      </c>
      <c r="L250">
        <v>-31</v>
      </c>
      <c r="M250">
        <f t="shared" si="15"/>
        <v>2.1830418528525745E-2</v>
      </c>
      <c r="N250">
        <v>349</v>
      </c>
    </row>
    <row r="251" spans="1:14" x14ac:dyDescent="0.25">
      <c r="A251" s="1">
        <v>43462</v>
      </c>
      <c r="B251" s="1">
        <f t="shared" si="12"/>
        <v>2018</v>
      </c>
      <c r="C251" s="1" t="str">
        <f t="shared" si="13"/>
        <v>Dec</v>
      </c>
      <c r="D251">
        <v>257.94000199999999</v>
      </c>
      <c r="E251">
        <v>261.91000400000001</v>
      </c>
      <c r="F251">
        <v>249.800003</v>
      </c>
      <c r="G251">
        <v>256.07998700000002</v>
      </c>
      <c r="H251">
        <v>256.07998700000002</v>
      </c>
      <c r="I251">
        <f t="shared" si="14"/>
        <v>-1.8600149999999758</v>
      </c>
      <c r="J251">
        <v>10992800</v>
      </c>
      <c r="K251">
        <v>-6.4516129032258004E-3</v>
      </c>
      <c r="L251">
        <v>-2</v>
      </c>
      <c r="M251">
        <f t="shared" si="15"/>
        <v>-7.2110373946572886E-3</v>
      </c>
      <c r="N251">
        <v>310</v>
      </c>
    </row>
    <row r="252" spans="1:14" x14ac:dyDescent="0.25">
      <c r="A252" s="1">
        <v>43465</v>
      </c>
      <c r="B252" s="1">
        <f t="shared" si="12"/>
        <v>2018</v>
      </c>
      <c r="C252" s="1" t="str">
        <f t="shared" si="13"/>
        <v>Dec</v>
      </c>
      <c r="D252">
        <v>260.16000400000001</v>
      </c>
      <c r="E252">
        <v>270.10000600000001</v>
      </c>
      <c r="F252">
        <v>260</v>
      </c>
      <c r="G252">
        <v>267.66000400000001</v>
      </c>
      <c r="H252">
        <v>267.66000400000001</v>
      </c>
      <c r="I252">
        <f t="shared" si="14"/>
        <v>7.5</v>
      </c>
      <c r="J252">
        <v>13508900</v>
      </c>
      <c r="K252">
        <v>-2.9891304347826001E-2</v>
      </c>
      <c r="L252">
        <v>-11</v>
      </c>
      <c r="M252">
        <f t="shared" si="15"/>
        <v>2.8828412840891559E-2</v>
      </c>
      <c r="N252">
        <v>368</v>
      </c>
    </row>
    <row r="253" spans="1:14" x14ac:dyDescent="0.25">
      <c r="A253" s="1">
        <v>43467</v>
      </c>
      <c r="B253" s="1">
        <f t="shared" si="12"/>
        <v>2019</v>
      </c>
      <c r="C253" s="1" t="str">
        <f t="shared" si="13"/>
        <v>Jan</v>
      </c>
      <c r="D253">
        <v>259.27999899999998</v>
      </c>
      <c r="E253">
        <v>269.75</v>
      </c>
      <c r="F253">
        <v>256.57998700000002</v>
      </c>
      <c r="G253">
        <v>267.66000400000001</v>
      </c>
      <c r="H253">
        <v>267.66000400000001</v>
      </c>
      <c r="I253">
        <f t="shared" si="14"/>
        <v>8.3800050000000397</v>
      </c>
      <c r="J253">
        <v>11679500</v>
      </c>
      <c r="K253">
        <v>-0.118374558303886</v>
      </c>
      <c r="L253">
        <v>-67</v>
      </c>
      <c r="M253">
        <f t="shared" si="15"/>
        <v>3.2320290929961165E-2</v>
      </c>
      <c r="N253">
        <v>566</v>
      </c>
    </row>
    <row r="254" spans="1:14" x14ac:dyDescent="0.25">
      <c r="A254" s="1">
        <v>43468</v>
      </c>
      <c r="B254" s="1">
        <f t="shared" si="12"/>
        <v>2019</v>
      </c>
      <c r="C254" s="1" t="str">
        <f t="shared" si="13"/>
        <v>Jan</v>
      </c>
      <c r="D254">
        <v>270.20001200000002</v>
      </c>
      <c r="E254">
        <v>275.790009</v>
      </c>
      <c r="F254">
        <v>264.42999300000002</v>
      </c>
      <c r="G254">
        <v>271.20001200000002</v>
      </c>
      <c r="H254">
        <v>271.20001200000002</v>
      </c>
      <c r="I254">
        <f t="shared" si="14"/>
        <v>1</v>
      </c>
      <c r="J254">
        <v>14969600</v>
      </c>
      <c r="K254">
        <v>-0.12338858195211699</v>
      </c>
      <c r="L254">
        <v>-67</v>
      </c>
      <c r="M254">
        <f t="shared" si="15"/>
        <v>3.7009620858195961E-3</v>
      </c>
      <c r="N254">
        <v>543</v>
      </c>
    </row>
    <row r="255" spans="1:14" x14ac:dyDescent="0.25">
      <c r="A255" s="1">
        <v>43469</v>
      </c>
      <c r="B255" s="1">
        <f t="shared" si="12"/>
        <v>2019</v>
      </c>
      <c r="C255" s="1" t="str">
        <f t="shared" si="13"/>
        <v>Jan</v>
      </c>
      <c r="D255">
        <v>281.88000499999998</v>
      </c>
      <c r="E255">
        <v>297.79998799999998</v>
      </c>
      <c r="F255">
        <v>278.540009</v>
      </c>
      <c r="G255">
        <v>297.57000699999998</v>
      </c>
      <c r="H255">
        <v>297.57000699999998</v>
      </c>
      <c r="I255">
        <f t="shared" si="14"/>
        <v>15.690001999999993</v>
      </c>
      <c r="J255">
        <v>19330100</v>
      </c>
      <c r="K255">
        <v>1.53846153846153E-2</v>
      </c>
      <c r="L255">
        <v>11</v>
      </c>
      <c r="M255">
        <f t="shared" si="15"/>
        <v>5.5661989930786304E-2</v>
      </c>
      <c r="N255">
        <v>715</v>
      </c>
    </row>
    <row r="256" spans="1:14" x14ac:dyDescent="0.25">
      <c r="A256" s="1">
        <v>43472</v>
      </c>
      <c r="B256" s="1">
        <f t="shared" si="12"/>
        <v>2019</v>
      </c>
      <c r="C256" s="1" t="str">
        <f t="shared" si="13"/>
        <v>Jan</v>
      </c>
      <c r="D256">
        <v>302.10000600000001</v>
      </c>
      <c r="E256">
        <v>316.79998799999998</v>
      </c>
      <c r="F256">
        <v>301.64999399999999</v>
      </c>
      <c r="G256">
        <v>315.33999599999999</v>
      </c>
      <c r="H256">
        <v>315.33999599999999</v>
      </c>
      <c r="I256">
        <f t="shared" si="14"/>
        <v>13.239989999999977</v>
      </c>
      <c r="J256">
        <v>18620100</v>
      </c>
      <c r="K256">
        <v>-2.7820710973724801E-2</v>
      </c>
      <c r="L256">
        <v>-18</v>
      </c>
      <c r="M256">
        <f t="shared" si="15"/>
        <v>4.3826513528768277E-2</v>
      </c>
      <c r="N256">
        <v>647</v>
      </c>
    </row>
    <row r="257" spans="1:14" x14ac:dyDescent="0.25">
      <c r="A257" s="1">
        <v>43473</v>
      </c>
      <c r="B257" s="1">
        <f t="shared" si="12"/>
        <v>2019</v>
      </c>
      <c r="C257" s="1" t="str">
        <f t="shared" si="13"/>
        <v>Jan</v>
      </c>
      <c r="D257">
        <v>319.98001099999999</v>
      </c>
      <c r="E257">
        <v>320.58999599999999</v>
      </c>
      <c r="F257">
        <v>308.01001000000002</v>
      </c>
      <c r="G257">
        <v>320.26998900000001</v>
      </c>
      <c r="H257">
        <v>320.26998900000001</v>
      </c>
      <c r="I257">
        <f t="shared" si="14"/>
        <v>0.28997800000001916</v>
      </c>
      <c r="J257">
        <v>15359200</v>
      </c>
      <c r="K257">
        <v>-9.2476489028213094E-2</v>
      </c>
      <c r="L257">
        <v>-59</v>
      </c>
      <c r="M257">
        <f t="shared" si="15"/>
        <v>9.0623785871430317E-4</v>
      </c>
      <c r="N257">
        <v>638</v>
      </c>
    </row>
    <row r="258" spans="1:14" x14ac:dyDescent="0.25">
      <c r="A258" s="1">
        <v>43474</v>
      </c>
      <c r="B258" s="1">
        <f t="shared" ref="B258:B321" si="16">YEAR(A258)</f>
        <v>2019</v>
      </c>
      <c r="C258" s="1" t="str">
        <f t="shared" ref="C258:C321" si="17">TEXT(A258,"mmm")</f>
        <v>Jan</v>
      </c>
      <c r="D258">
        <v>317.709991</v>
      </c>
      <c r="E258">
        <v>323.35000600000001</v>
      </c>
      <c r="F258">
        <v>313.5</v>
      </c>
      <c r="G258">
        <v>319.959991</v>
      </c>
      <c r="H258">
        <v>319.959991</v>
      </c>
      <c r="I258">
        <f t="shared" ref="I258:I321" si="18">G258-D258</f>
        <v>2.25</v>
      </c>
      <c r="J258">
        <v>13343200</v>
      </c>
      <c r="K258">
        <v>-4.8997772828507702E-2</v>
      </c>
      <c r="L258">
        <v>-22</v>
      </c>
      <c r="M258">
        <f t="shared" ref="M258:M321" si="19">(G258-D258)/D258</f>
        <v>7.0819302626211715E-3</v>
      </c>
      <c r="N258">
        <v>449</v>
      </c>
    </row>
    <row r="259" spans="1:14" x14ac:dyDescent="0.25">
      <c r="A259" s="1">
        <v>43475</v>
      </c>
      <c r="B259" s="1">
        <f t="shared" si="16"/>
        <v>2019</v>
      </c>
      <c r="C259" s="1" t="str">
        <f t="shared" si="17"/>
        <v>Jan</v>
      </c>
      <c r="D259">
        <v>314.57000699999998</v>
      </c>
      <c r="E259">
        <v>325.36999500000002</v>
      </c>
      <c r="F259">
        <v>312.5</v>
      </c>
      <c r="G259">
        <v>324.66000400000001</v>
      </c>
      <c r="H259">
        <v>324.66000400000001</v>
      </c>
      <c r="I259">
        <f t="shared" si="18"/>
        <v>10.089997000000039</v>
      </c>
      <c r="J259">
        <v>13472500</v>
      </c>
      <c r="K259">
        <v>-4.9418604651162698E-2</v>
      </c>
      <c r="L259">
        <v>-34</v>
      </c>
      <c r="M259">
        <f t="shared" si="19"/>
        <v>3.2075521427572209E-2</v>
      </c>
      <c r="N259">
        <v>688</v>
      </c>
    </row>
    <row r="260" spans="1:14" x14ac:dyDescent="0.25">
      <c r="A260" s="1">
        <v>43476</v>
      </c>
      <c r="B260" s="1">
        <f t="shared" si="16"/>
        <v>2019</v>
      </c>
      <c r="C260" s="1" t="str">
        <f t="shared" si="17"/>
        <v>Jan</v>
      </c>
      <c r="D260">
        <v>330.959991</v>
      </c>
      <c r="E260">
        <v>341.08999599999999</v>
      </c>
      <c r="F260">
        <v>328.51998900000001</v>
      </c>
      <c r="G260">
        <v>337.58999599999999</v>
      </c>
      <c r="H260">
        <v>337.58999599999999</v>
      </c>
      <c r="I260">
        <f t="shared" si="18"/>
        <v>6.6300049999999828</v>
      </c>
      <c r="J260">
        <v>19500400</v>
      </c>
      <c r="K260">
        <v>-4.4172932330827003E-2</v>
      </c>
      <c r="L260">
        <v>-47</v>
      </c>
      <c r="M260">
        <f t="shared" si="19"/>
        <v>2.0032647994603019E-2</v>
      </c>
      <c r="N260">
        <v>1064</v>
      </c>
    </row>
    <row r="261" spans="1:14" x14ac:dyDescent="0.25">
      <c r="A261" s="1">
        <v>43479</v>
      </c>
      <c r="B261" s="1">
        <f t="shared" si="16"/>
        <v>2019</v>
      </c>
      <c r="C261" s="1" t="str">
        <f t="shared" si="17"/>
        <v>Jan</v>
      </c>
      <c r="D261">
        <v>334.23998999999998</v>
      </c>
      <c r="E261">
        <v>335.48001099999999</v>
      </c>
      <c r="F261">
        <v>329.13000499999998</v>
      </c>
      <c r="G261">
        <v>332.94000199999999</v>
      </c>
      <c r="H261">
        <v>332.94000199999999</v>
      </c>
      <c r="I261">
        <f t="shared" si="18"/>
        <v>-1.2999879999999848</v>
      </c>
      <c r="J261">
        <v>10499600</v>
      </c>
      <c r="K261">
        <v>-8.7939698492462304E-2</v>
      </c>
      <c r="L261">
        <v>-35</v>
      </c>
      <c r="M261">
        <f t="shared" si="19"/>
        <v>-3.8893849895100369E-3</v>
      </c>
      <c r="N261">
        <v>398</v>
      </c>
    </row>
    <row r="262" spans="1:14" x14ac:dyDescent="0.25">
      <c r="A262" s="1">
        <v>43480</v>
      </c>
      <c r="B262" s="1">
        <f t="shared" si="16"/>
        <v>2019</v>
      </c>
      <c r="C262" s="1" t="str">
        <f t="shared" si="17"/>
        <v>Jan</v>
      </c>
      <c r="D262">
        <v>349.60000600000001</v>
      </c>
      <c r="E262">
        <v>357.22000100000002</v>
      </c>
      <c r="F262">
        <v>347</v>
      </c>
      <c r="G262">
        <v>354.64001500000001</v>
      </c>
      <c r="H262">
        <v>354.64001500000001</v>
      </c>
      <c r="I262">
        <f t="shared" si="18"/>
        <v>5.0400089999999977</v>
      </c>
      <c r="J262">
        <v>21181200</v>
      </c>
      <c r="K262">
        <v>-7.8103207810320693E-2</v>
      </c>
      <c r="L262">
        <v>-112</v>
      </c>
      <c r="M262">
        <f t="shared" si="19"/>
        <v>1.4416501468824339E-2</v>
      </c>
      <c r="N262">
        <v>1434</v>
      </c>
    </row>
    <row r="263" spans="1:14" x14ac:dyDescent="0.25">
      <c r="A263" s="1">
        <v>43481</v>
      </c>
      <c r="B263" s="1">
        <f t="shared" si="16"/>
        <v>2019</v>
      </c>
      <c r="C263" s="1" t="str">
        <f t="shared" si="17"/>
        <v>Jan</v>
      </c>
      <c r="D263">
        <v>354</v>
      </c>
      <c r="E263">
        <v>358.85000600000001</v>
      </c>
      <c r="F263">
        <v>348.10998499999999</v>
      </c>
      <c r="G263">
        <v>351.39001500000001</v>
      </c>
      <c r="H263">
        <v>351.39001500000001</v>
      </c>
      <c r="I263">
        <f t="shared" si="18"/>
        <v>-2.6099849999999947</v>
      </c>
      <c r="J263">
        <v>15385500</v>
      </c>
      <c r="K263">
        <v>-0.115815691158156</v>
      </c>
      <c r="L263">
        <v>-93</v>
      </c>
      <c r="M263">
        <f t="shared" si="19"/>
        <v>-7.3728389830508322E-3</v>
      </c>
      <c r="N263">
        <v>803</v>
      </c>
    </row>
    <row r="264" spans="1:14" x14ac:dyDescent="0.25">
      <c r="A264" s="1">
        <v>43482</v>
      </c>
      <c r="B264" s="1">
        <f t="shared" si="16"/>
        <v>2019</v>
      </c>
      <c r="C264" s="1" t="str">
        <f t="shared" si="17"/>
        <v>Jan</v>
      </c>
      <c r="D264">
        <v>349.5</v>
      </c>
      <c r="E264">
        <v>355.790009</v>
      </c>
      <c r="F264">
        <v>346.41000400000001</v>
      </c>
      <c r="G264">
        <v>353.19000199999999</v>
      </c>
      <c r="H264">
        <v>353.19000199999999</v>
      </c>
      <c r="I264">
        <f t="shared" si="18"/>
        <v>3.6900019999999927</v>
      </c>
      <c r="J264">
        <v>18871200</v>
      </c>
      <c r="K264">
        <v>-0.11987522281639899</v>
      </c>
      <c r="L264">
        <v>-269</v>
      </c>
      <c r="M264">
        <f t="shared" si="19"/>
        <v>1.0557945636623727E-2</v>
      </c>
      <c r="N264">
        <v>2244</v>
      </c>
    </row>
    <row r="265" spans="1:14" x14ac:dyDescent="0.25">
      <c r="A265" s="1">
        <v>43483</v>
      </c>
      <c r="B265" s="1">
        <f t="shared" si="16"/>
        <v>2019</v>
      </c>
      <c r="C265" s="1" t="str">
        <f t="shared" si="17"/>
        <v>Jan</v>
      </c>
      <c r="D265">
        <v>351.97000100000002</v>
      </c>
      <c r="E265">
        <v>353</v>
      </c>
      <c r="F265">
        <v>336.73001099999999</v>
      </c>
      <c r="G265">
        <v>339.10000600000001</v>
      </c>
      <c r="H265">
        <v>339.10000600000001</v>
      </c>
      <c r="I265">
        <f t="shared" si="18"/>
        <v>-12.869995000000017</v>
      </c>
      <c r="J265">
        <v>26621000</v>
      </c>
      <c r="K265">
        <v>-8.9496581727781202E-2</v>
      </c>
      <c r="L265">
        <v>-144</v>
      </c>
      <c r="M265">
        <f t="shared" si="19"/>
        <v>-3.6565602078115787E-2</v>
      </c>
      <c r="N265">
        <v>1609</v>
      </c>
    </row>
    <row r="266" spans="1:14" x14ac:dyDescent="0.25">
      <c r="A266" s="1">
        <v>43487</v>
      </c>
      <c r="B266" s="1">
        <f t="shared" si="16"/>
        <v>2019</v>
      </c>
      <c r="C266" s="1" t="str">
        <f t="shared" si="17"/>
        <v>Jan</v>
      </c>
      <c r="D266">
        <v>334.89001500000001</v>
      </c>
      <c r="E266">
        <v>336.88000499999998</v>
      </c>
      <c r="F266">
        <v>321.02999899999998</v>
      </c>
      <c r="G266">
        <v>325.16000400000001</v>
      </c>
      <c r="H266">
        <v>325.16000400000001</v>
      </c>
      <c r="I266">
        <f t="shared" si="18"/>
        <v>-9.7300109999999904</v>
      </c>
      <c r="J266">
        <v>17941400</v>
      </c>
      <c r="K266">
        <v>-0.105263157894736</v>
      </c>
      <c r="L266">
        <v>-84</v>
      </c>
      <c r="M266">
        <f t="shared" si="19"/>
        <v>-2.9054347887917741E-2</v>
      </c>
      <c r="N266">
        <v>798</v>
      </c>
    </row>
    <row r="267" spans="1:14" x14ac:dyDescent="0.25">
      <c r="A267" s="1">
        <v>43488</v>
      </c>
      <c r="B267" s="1">
        <f t="shared" si="16"/>
        <v>2019</v>
      </c>
      <c r="C267" s="1" t="str">
        <f t="shared" si="17"/>
        <v>Jan</v>
      </c>
      <c r="D267">
        <v>328.25</v>
      </c>
      <c r="E267">
        <v>331.75</v>
      </c>
      <c r="F267">
        <v>318.60000600000001</v>
      </c>
      <c r="G267">
        <v>321.98998999999998</v>
      </c>
      <c r="H267">
        <v>321.98998999999998</v>
      </c>
      <c r="I267">
        <f t="shared" si="18"/>
        <v>-6.2600100000000225</v>
      </c>
      <c r="J267">
        <v>13480100</v>
      </c>
      <c r="K267">
        <v>-0.125</v>
      </c>
      <c r="L267">
        <v>-71</v>
      </c>
      <c r="M267">
        <f t="shared" si="19"/>
        <v>-1.9070860624524059E-2</v>
      </c>
      <c r="N267">
        <v>568</v>
      </c>
    </row>
    <row r="268" spans="1:14" x14ac:dyDescent="0.25">
      <c r="A268" s="1">
        <v>43489</v>
      </c>
      <c r="B268" s="1">
        <f t="shared" si="16"/>
        <v>2019</v>
      </c>
      <c r="C268" s="1" t="str">
        <f t="shared" si="17"/>
        <v>Jan</v>
      </c>
      <c r="D268">
        <v>320.60000600000001</v>
      </c>
      <c r="E268">
        <v>331.79998799999998</v>
      </c>
      <c r="F268">
        <v>319</v>
      </c>
      <c r="G268">
        <v>326.67001299999998</v>
      </c>
      <c r="H268">
        <v>326.67001299999998</v>
      </c>
      <c r="I268">
        <f t="shared" si="18"/>
        <v>6.0700069999999755</v>
      </c>
      <c r="J268">
        <v>11131600</v>
      </c>
      <c r="K268">
        <v>-6.9930069930069894E-2</v>
      </c>
      <c r="L268">
        <v>-30</v>
      </c>
      <c r="M268">
        <f t="shared" si="19"/>
        <v>1.8933271635684173E-2</v>
      </c>
      <c r="N268">
        <v>429</v>
      </c>
    </row>
    <row r="269" spans="1:14" x14ac:dyDescent="0.25">
      <c r="A269" s="1">
        <v>43490</v>
      </c>
      <c r="B269" s="1">
        <f t="shared" si="16"/>
        <v>2019</v>
      </c>
      <c r="C269" s="1" t="str">
        <f t="shared" si="17"/>
        <v>Jan</v>
      </c>
      <c r="D269">
        <v>328.72000100000002</v>
      </c>
      <c r="E269">
        <v>340</v>
      </c>
      <c r="F269">
        <v>328.51001000000002</v>
      </c>
      <c r="G269">
        <v>338.04998799999998</v>
      </c>
      <c r="H269">
        <v>338.04998799999998</v>
      </c>
      <c r="I269">
        <f t="shared" si="18"/>
        <v>9.3299869999999601</v>
      </c>
      <c r="J269">
        <v>11152900</v>
      </c>
      <c r="K269">
        <v>-6.1855670103092703E-2</v>
      </c>
      <c r="L269">
        <v>-24</v>
      </c>
      <c r="M269">
        <f t="shared" si="19"/>
        <v>2.8382778570263997E-2</v>
      </c>
      <c r="N269">
        <v>388</v>
      </c>
    </row>
    <row r="270" spans="1:14" x14ac:dyDescent="0.25">
      <c r="A270" s="1">
        <v>43493</v>
      </c>
      <c r="B270" s="1">
        <f t="shared" si="16"/>
        <v>2019</v>
      </c>
      <c r="C270" s="1" t="str">
        <f t="shared" si="17"/>
        <v>Jan</v>
      </c>
      <c r="D270">
        <v>334.70001200000002</v>
      </c>
      <c r="E270">
        <v>336.29998799999998</v>
      </c>
      <c r="F270">
        <v>328.88000499999998</v>
      </c>
      <c r="G270">
        <v>335.66000400000001</v>
      </c>
      <c r="H270">
        <v>335.66000400000001</v>
      </c>
      <c r="I270">
        <f t="shared" si="18"/>
        <v>0.95999199999999973</v>
      </c>
      <c r="J270">
        <v>8652100</v>
      </c>
      <c r="K270">
        <v>-6.7484662576687102E-2</v>
      </c>
      <c r="L270">
        <v>-22</v>
      </c>
      <c r="M270">
        <f t="shared" si="19"/>
        <v>2.8682162102820589E-3</v>
      </c>
      <c r="N270">
        <v>326</v>
      </c>
    </row>
    <row r="271" spans="1:14" x14ac:dyDescent="0.25">
      <c r="A271" s="1">
        <v>43494</v>
      </c>
      <c r="B271" s="1">
        <f t="shared" si="16"/>
        <v>2019</v>
      </c>
      <c r="C271" s="1" t="str">
        <f t="shared" si="17"/>
        <v>Jan</v>
      </c>
      <c r="D271">
        <v>335.86999500000002</v>
      </c>
      <c r="E271">
        <v>338.22000100000002</v>
      </c>
      <c r="F271">
        <v>328.14999399999999</v>
      </c>
      <c r="G271">
        <v>328.89999399999999</v>
      </c>
      <c r="H271">
        <v>328.89999399999999</v>
      </c>
      <c r="I271">
        <f t="shared" si="18"/>
        <v>-6.9700010000000248</v>
      </c>
      <c r="J271">
        <v>7655200</v>
      </c>
      <c r="K271">
        <v>-0.103641456582633</v>
      </c>
      <c r="L271">
        <v>-37</v>
      </c>
      <c r="M271">
        <f t="shared" si="19"/>
        <v>-2.0752079982613584E-2</v>
      </c>
      <c r="N271">
        <v>357</v>
      </c>
    </row>
    <row r="272" spans="1:14" x14ac:dyDescent="0.25">
      <c r="A272" s="1">
        <v>43495</v>
      </c>
      <c r="B272" s="1">
        <f t="shared" si="16"/>
        <v>2019</v>
      </c>
      <c r="C272" s="1" t="str">
        <f t="shared" si="17"/>
        <v>Jan</v>
      </c>
      <c r="D272">
        <v>332.75</v>
      </c>
      <c r="E272">
        <v>341.77999899999998</v>
      </c>
      <c r="F272">
        <v>330.79998799999998</v>
      </c>
      <c r="G272">
        <v>340.66000400000001</v>
      </c>
      <c r="H272">
        <v>340.66000400000001</v>
      </c>
      <c r="I272">
        <f t="shared" si="18"/>
        <v>7.9100040000000149</v>
      </c>
      <c r="J272">
        <v>9234500</v>
      </c>
      <c r="K272">
        <v>-8.3333333333333301E-2</v>
      </c>
      <c r="L272">
        <v>-28</v>
      </c>
      <c r="M272">
        <f t="shared" si="19"/>
        <v>2.3771612321562781E-2</v>
      </c>
      <c r="N272">
        <v>336</v>
      </c>
    </row>
    <row r="273" spans="1:14" x14ac:dyDescent="0.25">
      <c r="A273" s="1">
        <v>43496</v>
      </c>
      <c r="B273" s="1">
        <f t="shared" si="16"/>
        <v>2019</v>
      </c>
      <c r="C273" s="1" t="str">
        <f t="shared" si="17"/>
        <v>Jan</v>
      </c>
      <c r="D273">
        <v>339.67999300000002</v>
      </c>
      <c r="E273">
        <v>345.98998999999998</v>
      </c>
      <c r="F273">
        <v>338.08999599999999</v>
      </c>
      <c r="G273">
        <v>339.5</v>
      </c>
      <c r="H273">
        <v>339.5</v>
      </c>
      <c r="I273">
        <f t="shared" si="18"/>
        <v>-0.17999300000002449</v>
      </c>
      <c r="J273">
        <v>8535500</v>
      </c>
      <c r="K273">
        <v>-6.9306930693069299E-2</v>
      </c>
      <c r="L273">
        <v>-28</v>
      </c>
      <c r="M273">
        <f t="shared" si="19"/>
        <v>-5.2988990729290462E-4</v>
      </c>
      <c r="N273">
        <v>404</v>
      </c>
    </row>
    <row r="274" spans="1:14" x14ac:dyDescent="0.25">
      <c r="A274" s="1">
        <v>43497</v>
      </c>
      <c r="B274" s="1">
        <f t="shared" si="16"/>
        <v>2019</v>
      </c>
      <c r="C274" s="1" t="str">
        <f t="shared" si="17"/>
        <v>Feb</v>
      </c>
      <c r="D274">
        <v>337.17999300000002</v>
      </c>
      <c r="E274">
        <v>346.83999599999999</v>
      </c>
      <c r="F274">
        <v>336.5</v>
      </c>
      <c r="G274">
        <v>339.85000600000001</v>
      </c>
      <c r="H274">
        <v>339.85000600000001</v>
      </c>
      <c r="I274">
        <f t="shared" si="18"/>
        <v>2.6700129999999831</v>
      </c>
      <c r="J274">
        <v>9827800</v>
      </c>
      <c r="K274">
        <v>-8.6153846153846095E-2</v>
      </c>
      <c r="L274">
        <v>-28</v>
      </c>
      <c r="M274">
        <f t="shared" si="19"/>
        <v>7.9186578546491127E-3</v>
      </c>
      <c r="N274">
        <v>325</v>
      </c>
    </row>
    <row r="275" spans="1:14" x14ac:dyDescent="0.25">
      <c r="A275" s="1">
        <v>43500</v>
      </c>
      <c r="B275" s="1">
        <f t="shared" si="16"/>
        <v>2019</v>
      </c>
      <c r="C275" s="1" t="str">
        <f t="shared" si="17"/>
        <v>Feb</v>
      </c>
      <c r="D275">
        <v>342.60000600000001</v>
      </c>
      <c r="E275">
        <v>352</v>
      </c>
      <c r="F275">
        <v>341.29998799999998</v>
      </c>
      <c r="G275">
        <v>351.33999599999999</v>
      </c>
      <c r="H275">
        <v>351.33999599999999</v>
      </c>
      <c r="I275">
        <f t="shared" si="18"/>
        <v>8.7399899999999775</v>
      </c>
      <c r="J275">
        <v>9051400</v>
      </c>
      <c r="K275">
        <v>-6.88336520076481E-2</v>
      </c>
      <c r="L275">
        <v>-36</v>
      </c>
      <c r="M275">
        <f t="shared" si="19"/>
        <v>2.5510770131159828E-2</v>
      </c>
      <c r="N275">
        <v>523</v>
      </c>
    </row>
    <row r="276" spans="1:14" x14ac:dyDescent="0.25">
      <c r="A276" s="1">
        <v>43501</v>
      </c>
      <c r="B276" s="1">
        <f t="shared" si="16"/>
        <v>2019</v>
      </c>
      <c r="C276" s="1" t="str">
        <f t="shared" si="17"/>
        <v>Feb</v>
      </c>
      <c r="D276">
        <v>353.20001200000002</v>
      </c>
      <c r="E276">
        <v>360</v>
      </c>
      <c r="F276">
        <v>352.89999399999999</v>
      </c>
      <c r="G276">
        <v>355.80999800000001</v>
      </c>
      <c r="H276">
        <v>355.80999800000001</v>
      </c>
      <c r="I276">
        <f t="shared" si="18"/>
        <v>2.6099859999999921</v>
      </c>
      <c r="J276">
        <v>9046600</v>
      </c>
      <c r="K276">
        <v>-5.4968287526426997E-2</v>
      </c>
      <c r="L276">
        <v>-26</v>
      </c>
      <c r="M276">
        <f t="shared" si="19"/>
        <v>7.3895410852930325E-3</v>
      </c>
      <c r="N276">
        <v>473</v>
      </c>
    </row>
    <row r="277" spans="1:14" x14ac:dyDescent="0.25">
      <c r="A277" s="1">
        <v>43502</v>
      </c>
      <c r="B277" s="1">
        <f t="shared" si="16"/>
        <v>2019</v>
      </c>
      <c r="C277" s="1" t="str">
        <f t="shared" si="17"/>
        <v>Feb</v>
      </c>
      <c r="D277">
        <v>357</v>
      </c>
      <c r="E277">
        <v>357.040009</v>
      </c>
      <c r="F277">
        <v>347.19000199999999</v>
      </c>
      <c r="G277">
        <v>352.19000199999999</v>
      </c>
      <c r="H277">
        <v>352.19000199999999</v>
      </c>
      <c r="I277">
        <f t="shared" si="18"/>
        <v>-4.8099980000000073</v>
      </c>
      <c r="J277">
        <v>6717700</v>
      </c>
      <c r="K277">
        <v>-0.13888888888888801</v>
      </c>
      <c r="L277">
        <v>-50</v>
      </c>
      <c r="M277">
        <f t="shared" si="19"/>
        <v>-1.3473383753501421E-2</v>
      </c>
      <c r="N277">
        <v>360</v>
      </c>
    </row>
    <row r="278" spans="1:14" x14ac:dyDescent="0.25">
      <c r="A278" s="1">
        <v>43503</v>
      </c>
      <c r="B278" s="1">
        <f t="shared" si="16"/>
        <v>2019</v>
      </c>
      <c r="C278" s="1" t="str">
        <f t="shared" si="17"/>
        <v>Feb</v>
      </c>
      <c r="D278">
        <v>347.89999399999999</v>
      </c>
      <c r="E278">
        <v>348.75</v>
      </c>
      <c r="F278">
        <v>339.01998900000001</v>
      </c>
      <c r="G278">
        <v>344.709991</v>
      </c>
      <c r="H278">
        <v>344.709991</v>
      </c>
      <c r="I278">
        <f t="shared" si="18"/>
        <v>-3.1900029999999902</v>
      </c>
      <c r="J278">
        <v>7864500</v>
      </c>
      <c r="K278">
        <v>-0.11267605633802801</v>
      </c>
      <c r="L278">
        <v>-32</v>
      </c>
      <c r="M278">
        <f t="shared" si="19"/>
        <v>-9.1693103047308187E-3</v>
      </c>
      <c r="N278">
        <v>284</v>
      </c>
    </row>
    <row r="279" spans="1:14" x14ac:dyDescent="0.25">
      <c r="A279" s="1">
        <v>43504</v>
      </c>
      <c r="B279" s="1">
        <f t="shared" si="16"/>
        <v>2019</v>
      </c>
      <c r="C279" s="1" t="str">
        <f t="shared" si="17"/>
        <v>Feb</v>
      </c>
      <c r="D279">
        <v>338</v>
      </c>
      <c r="E279">
        <v>348</v>
      </c>
      <c r="F279">
        <v>338</v>
      </c>
      <c r="G279">
        <v>347.57000699999998</v>
      </c>
      <c r="H279">
        <v>347.57000699999998</v>
      </c>
      <c r="I279">
        <f t="shared" si="18"/>
        <v>9.5700069999999755</v>
      </c>
      <c r="J279">
        <v>7561400</v>
      </c>
      <c r="K279">
        <v>-0.101190476190476</v>
      </c>
      <c r="L279">
        <v>-34</v>
      </c>
      <c r="M279">
        <f t="shared" si="19"/>
        <v>2.8313630177514721E-2</v>
      </c>
      <c r="N279">
        <v>336</v>
      </c>
    </row>
    <row r="280" spans="1:14" x14ac:dyDescent="0.25">
      <c r="A280" s="1">
        <v>43507</v>
      </c>
      <c r="B280" s="1">
        <f t="shared" si="16"/>
        <v>2019</v>
      </c>
      <c r="C280" s="1" t="str">
        <f t="shared" si="17"/>
        <v>Feb</v>
      </c>
      <c r="D280">
        <v>350</v>
      </c>
      <c r="E280">
        <v>352.86999500000002</v>
      </c>
      <c r="F280">
        <v>344.80999800000001</v>
      </c>
      <c r="G280">
        <v>345.73001099999999</v>
      </c>
      <c r="H280">
        <v>345.73001099999999</v>
      </c>
      <c r="I280">
        <f t="shared" si="18"/>
        <v>-4.2699890000000096</v>
      </c>
      <c r="J280">
        <v>5454900</v>
      </c>
      <c r="K280">
        <v>-6.7460317460317401E-2</v>
      </c>
      <c r="L280">
        <v>-17</v>
      </c>
      <c r="M280">
        <f t="shared" si="19"/>
        <v>-1.2199968571428599E-2</v>
      </c>
      <c r="N280">
        <v>252</v>
      </c>
    </row>
    <row r="281" spans="1:14" x14ac:dyDescent="0.25">
      <c r="A281" s="1">
        <v>43508</v>
      </c>
      <c r="B281" s="1">
        <f t="shared" si="16"/>
        <v>2019</v>
      </c>
      <c r="C281" s="1" t="str">
        <f t="shared" si="17"/>
        <v>Feb</v>
      </c>
      <c r="D281">
        <v>348.08999599999999</v>
      </c>
      <c r="E281">
        <v>360</v>
      </c>
      <c r="F281">
        <v>346.51998900000001</v>
      </c>
      <c r="G281">
        <v>359.97000100000002</v>
      </c>
      <c r="H281">
        <v>359.97000100000002</v>
      </c>
      <c r="I281">
        <f t="shared" si="18"/>
        <v>11.88000500000004</v>
      </c>
      <c r="J281">
        <v>10429400</v>
      </c>
      <c r="K281">
        <v>-1.1406844106463801E-2</v>
      </c>
      <c r="L281">
        <v>-6</v>
      </c>
      <c r="M281">
        <f t="shared" si="19"/>
        <v>3.4129119298217464E-2</v>
      </c>
      <c r="N281">
        <v>526</v>
      </c>
    </row>
    <row r="282" spans="1:14" x14ac:dyDescent="0.25">
      <c r="A282" s="1">
        <v>43509</v>
      </c>
      <c r="B282" s="1">
        <f t="shared" si="16"/>
        <v>2019</v>
      </c>
      <c r="C282" s="1" t="str">
        <f t="shared" si="17"/>
        <v>Feb</v>
      </c>
      <c r="D282">
        <v>357.29998799999998</v>
      </c>
      <c r="E282">
        <v>359.60000600000001</v>
      </c>
      <c r="F282">
        <v>350.27999899999998</v>
      </c>
      <c r="G282">
        <v>351.76998900000001</v>
      </c>
      <c r="H282">
        <v>351.76998900000001</v>
      </c>
      <c r="I282">
        <f t="shared" si="18"/>
        <v>-5.5299989999999752</v>
      </c>
      <c r="J282">
        <v>10559100</v>
      </c>
      <c r="K282">
        <v>-5.6974459724950799E-2</v>
      </c>
      <c r="L282">
        <v>-29</v>
      </c>
      <c r="M282">
        <f t="shared" si="19"/>
        <v>-1.5477187757420175E-2</v>
      </c>
      <c r="N282">
        <v>509</v>
      </c>
    </row>
    <row r="283" spans="1:14" x14ac:dyDescent="0.25">
      <c r="A283" s="1">
        <v>43510</v>
      </c>
      <c r="B283" s="1">
        <f t="shared" si="16"/>
        <v>2019</v>
      </c>
      <c r="C283" s="1" t="str">
        <f t="shared" si="17"/>
        <v>Feb</v>
      </c>
      <c r="D283">
        <v>351.75</v>
      </c>
      <c r="E283">
        <v>360.45001200000002</v>
      </c>
      <c r="F283">
        <v>348.32998700000002</v>
      </c>
      <c r="G283">
        <v>359.07000699999998</v>
      </c>
      <c r="H283">
        <v>359.07000699999998</v>
      </c>
      <c r="I283">
        <f t="shared" si="18"/>
        <v>7.3200069999999755</v>
      </c>
      <c r="J283">
        <v>9295300</v>
      </c>
      <c r="K283">
        <v>-2.2675736961451001E-3</v>
      </c>
      <c r="L283">
        <v>-1</v>
      </c>
      <c r="M283">
        <f t="shared" si="19"/>
        <v>2.0810254442075269E-2</v>
      </c>
      <c r="N283">
        <v>441</v>
      </c>
    </row>
    <row r="284" spans="1:14" x14ac:dyDescent="0.25">
      <c r="A284" s="1">
        <v>43511</v>
      </c>
      <c r="B284" s="1">
        <f t="shared" si="16"/>
        <v>2019</v>
      </c>
      <c r="C284" s="1" t="str">
        <f t="shared" si="17"/>
        <v>Feb</v>
      </c>
      <c r="D284">
        <v>358.47000100000002</v>
      </c>
      <c r="E284">
        <v>364.39999399999999</v>
      </c>
      <c r="F284">
        <v>355.5</v>
      </c>
      <c r="G284">
        <v>356.86999500000002</v>
      </c>
      <c r="H284">
        <v>356.86999500000002</v>
      </c>
      <c r="I284">
        <f t="shared" si="18"/>
        <v>-1.6000060000000076</v>
      </c>
      <c r="J284">
        <v>9230000</v>
      </c>
      <c r="K284">
        <v>-9.375E-2</v>
      </c>
      <c r="L284">
        <v>-39</v>
      </c>
      <c r="M284">
        <f t="shared" si="19"/>
        <v>-4.4634306790988839E-3</v>
      </c>
      <c r="N284">
        <v>416</v>
      </c>
    </row>
    <row r="285" spans="1:14" x14ac:dyDescent="0.25">
      <c r="A285" s="1">
        <v>43515</v>
      </c>
      <c r="B285" s="1">
        <f t="shared" si="16"/>
        <v>2019</v>
      </c>
      <c r="C285" s="1" t="str">
        <f t="shared" si="17"/>
        <v>Feb</v>
      </c>
      <c r="D285">
        <v>355.79998799999998</v>
      </c>
      <c r="E285">
        <v>365</v>
      </c>
      <c r="F285">
        <v>355.32000699999998</v>
      </c>
      <c r="G285">
        <v>361.92001299999998</v>
      </c>
      <c r="H285">
        <v>361.92001299999998</v>
      </c>
      <c r="I285">
        <f t="shared" si="18"/>
        <v>6.1200249999999983</v>
      </c>
      <c r="J285">
        <v>7396600</v>
      </c>
      <c r="K285">
        <v>-5.1339285714285698E-2</v>
      </c>
      <c r="L285">
        <v>-23</v>
      </c>
      <c r="M285">
        <f t="shared" si="19"/>
        <v>1.7200745380576008E-2</v>
      </c>
      <c r="N285">
        <v>448</v>
      </c>
    </row>
    <row r="286" spans="1:14" x14ac:dyDescent="0.25">
      <c r="A286" s="1">
        <v>43516</v>
      </c>
      <c r="B286" s="1">
        <f t="shared" si="16"/>
        <v>2019</v>
      </c>
      <c r="C286" s="1" t="str">
        <f t="shared" si="17"/>
        <v>Feb</v>
      </c>
      <c r="D286">
        <v>364.85000600000001</v>
      </c>
      <c r="E286">
        <v>366.709991</v>
      </c>
      <c r="F286">
        <v>356.70001200000002</v>
      </c>
      <c r="G286">
        <v>359.91000400000001</v>
      </c>
      <c r="H286">
        <v>359.91000400000001</v>
      </c>
      <c r="I286">
        <f t="shared" si="18"/>
        <v>-4.9400019999999927</v>
      </c>
      <c r="J286">
        <v>8110700</v>
      </c>
      <c r="K286">
        <v>-9.6354166666666602E-2</v>
      </c>
      <c r="L286">
        <v>-37</v>
      </c>
      <c r="M286">
        <f t="shared" si="19"/>
        <v>-1.3539816140225012E-2</v>
      </c>
      <c r="N286">
        <v>384</v>
      </c>
    </row>
    <row r="287" spans="1:14" x14ac:dyDescent="0.25">
      <c r="A287" s="1">
        <v>43517</v>
      </c>
      <c r="B287" s="1">
        <f t="shared" si="16"/>
        <v>2019</v>
      </c>
      <c r="C287" s="1" t="str">
        <f t="shared" si="17"/>
        <v>Feb</v>
      </c>
      <c r="D287">
        <v>360.02999899999998</v>
      </c>
      <c r="E287">
        <v>362.85000600000001</v>
      </c>
      <c r="F287">
        <v>353.88000499999998</v>
      </c>
      <c r="G287">
        <v>356.97000100000002</v>
      </c>
      <c r="H287">
        <v>356.97000100000002</v>
      </c>
      <c r="I287">
        <f t="shared" si="18"/>
        <v>-3.0599979999999505</v>
      </c>
      <c r="J287">
        <v>6227900</v>
      </c>
      <c r="K287">
        <v>-0.11182108626197999</v>
      </c>
      <c r="L287">
        <v>-35</v>
      </c>
      <c r="M287">
        <f t="shared" si="19"/>
        <v>-8.4992861942039186E-3</v>
      </c>
      <c r="N287">
        <v>313</v>
      </c>
    </row>
    <row r="288" spans="1:14" x14ac:dyDescent="0.25">
      <c r="A288" s="1">
        <v>43518</v>
      </c>
      <c r="B288" s="1">
        <f t="shared" si="16"/>
        <v>2019</v>
      </c>
      <c r="C288" s="1" t="str">
        <f t="shared" si="17"/>
        <v>Feb</v>
      </c>
      <c r="D288">
        <v>360.33999599999999</v>
      </c>
      <c r="E288">
        <v>366.13000499999998</v>
      </c>
      <c r="F288">
        <v>360.04998799999998</v>
      </c>
      <c r="G288">
        <v>363.01998900000001</v>
      </c>
      <c r="H288">
        <v>363.01998900000001</v>
      </c>
      <c r="I288">
        <f t="shared" si="18"/>
        <v>2.6799930000000245</v>
      </c>
      <c r="J288">
        <v>7088200</v>
      </c>
      <c r="K288">
        <v>-8.2822085889570504E-2</v>
      </c>
      <c r="L288">
        <v>-27</v>
      </c>
      <c r="M288">
        <f t="shared" si="19"/>
        <v>7.4374008707044125E-3</v>
      </c>
      <c r="N288">
        <v>326</v>
      </c>
    </row>
    <row r="289" spans="1:14" x14ac:dyDescent="0.25">
      <c r="A289" s="1">
        <v>43521</v>
      </c>
      <c r="B289" s="1">
        <f t="shared" si="16"/>
        <v>2019</v>
      </c>
      <c r="C289" s="1" t="str">
        <f t="shared" si="17"/>
        <v>Feb</v>
      </c>
      <c r="D289">
        <v>367.01001000000002</v>
      </c>
      <c r="E289">
        <v>371.48998999999998</v>
      </c>
      <c r="F289">
        <v>363.790009</v>
      </c>
      <c r="G289">
        <v>363.91000400000001</v>
      </c>
      <c r="H289">
        <v>363.91000400000001</v>
      </c>
      <c r="I289">
        <f t="shared" si="18"/>
        <v>-3.1000060000000076</v>
      </c>
      <c r="J289">
        <v>7569300</v>
      </c>
      <c r="K289">
        <v>-2.3076923076922998E-2</v>
      </c>
      <c r="L289">
        <v>-9</v>
      </c>
      <c r="M289">
        <f t="shared" si="19"/>
        <v>-8.4466524496157672E-3</v>
      </c>
      <c r="N289">
        <v>390</v>
      </c>
    </row>
    <row r="290" spans="1:14" x14ac:dyDescent="0.25">
      <c r="A290" s="1">
        <v>43522</v>
      </c>
      <c r="B290" s="1">
        <f t="shared" si="16"/>
        <v>2019</v>
      </c>
      <c r="C290" s="1" t="str">
        <f t="shared" si="17"/>
        <v>Feb</v>
      </c>
      <c r="D290">
        <v>362.98001099999999</v>
      </c>
      <c r="E290">
        <v>365.70001200000002</v>
      </c>
      <c r="F290">
        <v>359.32998700000002</v>
      </c>
      <c r="G290">
        <v>364.97000100000002</v>
      </c>
      <c r="H290">
        <v>364.97000100000002</v>
      </c>
      <c r="I290">
        <f t="shared" si="18"/>
        <v>1.9899900000000343</v>
      </c>
      <c r="J290">
        <v>4944600</v>
      </c>
      <c r="K290">
        <v>-9.0909090909090898E-2</v>
      </c>
      <c r="L290">
        <v>-28</v>
      </c>
      <c r="M290">
        <f t="shared" si="19"/>
        <v>5.4823680084136487E-3</v>
      </c>
      <c r="N290">
        <v>308</v>
      </c>
    </row>
    <row r="291" spans="1:14" x14ac:dyDescent="0.25">
      <c r="A291" s="1">
        <v>43523</v>
      </c>
      <c r="B291" s="1">
        <f t="shared" si="16"/>
        <v>2019</v>
      </c>
      <c r="C291" s="1" t="str">
        <f t="shared" si="17"/>
        <v>Feb</v>
      </c>
      <c r="D291">
        <v>363.5</v>
      </c>
      <c r="E291">
        <v>368.02999899999998</v>
      </c>
      <c r="F291">
        <v>359.79998799999998</v>
      </c>
      <c r="G291">
        <v>362.86999500000002</v>
      </c>
      <c r="H291">
        <v>362.86999500000002</v>
      </c>
      <c r="I291">
        <f t="shared" si="18"/>
        <v>-0.63000499999998283</v>
      </c>
      <c r="J291">
        <v>5629900</v>
      </c>
      <c r="K291">
        <v>-0.10231023102310199</v>
      </c>
      <c r="L291">
        <v>-31</v>
      </c>
      <c r="M291">
        <f t="shared" si="19"/>
        <v>-1.7331636863823462E-3</v>
      </c>
      <c r="N291">
        <v>303</v>
      </c>
    </row>
    <row r="292" spans="1:14" x14ac:dyDescent="0.25">
      <c r="A292" s="1">
        <v>43524</v>
      </c>
      <c r="B292" s="1">
        <f t="shared" si="16"/>
        <v>2019</v>
      </c>
      <c r="C292" s="1" t="str">
        <f t="shared" si="17"/>
        <v>Feb</v>
      </c>
      <c r="D292">
        <v>362.47000100000002</v>
      </c>
      <c r="E292">
        <v>366.39001500000001</v>
      </c>
      <c r="F292">
        <v>357.709991</v>
      </c>
      <c r="G292">
        <v>358.10000600000001</v>
      </c>
      <c r="H292">
        <v>358.10000600000001</v>
      </c>
      <c r="I292">
        <f t="shared" si="18"/>
        <v>-4.3699950000000172</v>
      </c>
      <c r="J292">
        <v>6186800</v>
      </c>
      <c r="K292">
        <v>-0.17597765363128401</v>
      </c>
      <c r="L292">
        <v>-63</v>
      </c>
      <c r="M292">
        <f t="shared" si="19"/>
        <v>-1.2056156338300716E-2</v>
      </c>
      <c r="N292">
        <v>358</v>
      </c>
    </row>
    <row r="293" spans="1:14" x14ac:dyDescent="0.25">
      <c r="A293" s="1">
        <v>43525</v>
      </c>
      <c r="B293" s="1">
        <f t="shared" si="16"/>
        <v>2019</v>
      </c>
      <c r="C293" s="1" t="str">
        <f t="shared" si="17"/>
        <v>Mar</v>
      </c>
      <c r="D293">
        <v>362.26001000000002</v>
      </c>
      <c r="E293">
        <v>362.86999500000002</v>
      </c>
      <c r="F293">
        <v>354.69000199999999</v>
      </c>
      <c r="G293">
        <v>357.32000699999998</v>
      </c>
      <c r="H293">
        <v>357.32000699999998</v>
      </c>
      <c r="I293">
        <f t="shared" si="18"/>
        <v>-4.940003000000047</v>
      </c>
      <c r="J293">
        <v>5526500</v>
      </c>
      <c r="K293">
        <v>-0.16129032258064499</v>
      </c>
      <c r="L293">
        <v>-50</v>
      </c>
      <c r="M293">
        <f t="shared" si="19"/>
        <v>-1.3636622491121906E-2</v>
      </c>
      <c r="N293">
        <v>310</v>
      </c>
    </row>
    <row r="294" spans="1:14" x14ac:dyDescent="0.25">
      <c r="A294" s="1">
        <v>43528</v>
      </c>
      <c r="B294" s="1">
        <f t="shared" si="16"/>
        <v>2019</v>
      </c>
      <c r="C294" s="1" t="str">
        <f t="shared" si="17"/>
        <v>Mar</v>
      </c>
      <c r="D294">
        <v>359.72000100000002</v>
      </c>
      <c r="E294">
        <v>362.25</v>
      </c>
      <c r="F294">
        <v>348.040009</v>
      </c>
      <c r="G294">
        <v>351.040009</v>
      </c>
      <c r="H294">
        <v>351.040009</v>
      </c>
      <c r="I294">
        <f t="shared" si="18"/>
        <v>-8.679992000000027</v>
      </c>
      <c r="J294">
        <v>7487000</v>
      </c>
      <c r="K294">
        <v>-0.16088328075709701</v>
      </c>
      <c r="L294">
        <v>-51</v>
      </c>
      <c r="M294">
        <f t="shared" si="19"/>
        <v>-2.4129856488018932E-2</v>
      </c>
      <c r="N294">
        <v>317</v>
      </c>
    </row>
    <row r="295" spans="1:14" x14ac:dyDescent="0.25">
      <c r="A295" s="1">
        <v>43529</v>
      </c>
      <c r="B295" s="1">
        <f t="shared" si="16"/>
        <v>2019</v>
      </c>
      <c r="C295" s="1" t="str">
        <f t="shared" si="17"/>
        <v>Mar</v>
      </c>
      <c r="D295">
        <v>351.459991</v>
      </c>
      <c r="E295">
        <v>356.17001299999998</v>
      </c>
      <c r="F295">
        <v>348.25</v>
      </c>
      <c r="G295">
        <v>354.29998799999998</v>
      </c>
      <c r="H295">
        <v>354.29998799999998</v>
      </c>
      <c r="I295">
        <f t="shared" si="18"/>
        <v>2.8399969999999826</v>
      </c>
      <c r="J295">
        <v>5937800</v>
      </c>
      <c r="K295">
        <v>-6.1452513966480403E-2</v>
      </c>
      <c r="L295">
        <v>-22</v>
      </c>
      <c r="M295">
        <f t="shared" si="19"/>
        <v>8.0805698307776456E-3</v>
      </c>
      <c r="N295">
        <v>358</v>
      </c>
    </row>
    <row r="296" spans="1:14" x14ac:dyDescent="0.25">
      <c r="A296" s="1">
        <v>43530</v>
      </c>
      <c r="B296" s="1">
        <f t="shared" si="16"/>
        <v>2019</v>
      </c>
      <c r="C296" s="1" t="str">
        <f t="shared" si="17"/>
        <v>Mar</v>
      </c>
      <c r="D296">
        <v>353.60000600000001</v>
      </c>
      <c r="E296">
        <v>359.88000499999998</v>
      </c>
      <c r="F296">
        <v>351.70001200000002</v>
      </c>
      <c r="G296">
        <v>359.60998499999999</v>
      </c>
      <c r="H296">
        <v>359.60998499999999</v>
      </c>
      <c r="I296">
        <f t="shared" si="18"/>
        <v>6.0099789999999871</v>
      </c>
      <c r="J296">
        <v>6211900</v>
      </c>
      <c r="K296">
        <v>-2.8011204481792701E-2</v>
      </c>
      <c r="L296">
        <v>-10</v>
      </c>
      <c r="M296">
        <f t="shared" si="19"/>
        <v>1.699654665729838E-2</v>
      </c>
      <c r="N296">
        <v>357</v>
      </c>
    </row>
    <row r="297" spans="1:14" x14ac:dyDescent="0.25">
      <c r="A297" s="1">
        <v>43531</v>
      </c>
      <c r="B297" s="1">
        <f t="shared" si="16"/>
        <v>2019</v>
      </c>
      <c r="C297" s="1" t="str">
        <f t="shared" si="17"/>
        <v>Mar</v>
      </c>
      <c r="D297">
        <v>360.16000400000001</v>
      </c>
      <c r="E297">
        <v>362.85998499999999</v>
      </c>
      <c r="F297">
        <v>350.5</v>
      </c>
      <c r="G297">
        <v>352.60000600000001</v>
      </c>
      <c r="H297">
        <v>352.60000600000001</v>
      </c>
      <c r="I297">
        <f t="shared" si="18"/>
        <v>-7.5599980000000073</v>
      </c>
      <c r="J297">
        <v>6151300</v>
      </c>
      <c r="K297">
        <v>-0.104225352112676</v>
      </c>
      <c r="L297">
        <v>-37</v>
      </c>
      <c r="M297">
        <f t="shared" si="19"/>
        <v>-2.0990665026758514E-2</v>
      </c>
      <c r="N297">
        <v>355</v>
      </c>
    </row>
    <row r="298" spans="1:14" x14ac:dyDescent="0.25">
      <c r="A298" s="1">
        <v>43532</v>
      </c>
      <c r="B298" s="1">
        <f t="shared" si="16"/>
        <v>2019</v>
      </c>
      <c r="C298" s="1" t="str">
        <f t="shared" si="17"/>
        <v>Mar</v>
      </c>
      <c r="D298">
        <v>345.75</v>
      </c>
      <c r="E298">
        <v>349.92001299999998</v>
      </c>
      <c r="F298">
        <v>342.47000100000002</v>
      </c>
      <c r="G298">
        <v>349.60000600000001</v>
      </c>
      <c r="H298">
        <v>349.60000600000001</v>
      </c>
      <c r="I298">
        <f t="shared" si="18"/>
        <v>3.8500060000000076</v>
      </c>
      <c r="J298">
        <v>6898800</v>
      </c>
      <c r="K298">
        <v>-0.108333333333333</v>
      </c>
      <c r="L298">
        <v>-39</v>
      </c>
      <c r="M298">
        <f t="shared" si="19"/>
        <v>1.11352306579899E-2</v>
      </c>
      <c r="N298">
        <v>360</v>
      </c>
    </row>
    <row r="299" spans="1:14" x14ac:dyDescent="0.25">
      <c r="A299" s="1">
        <v>43535</v>
      </c>
      <c r="B299" s="1">
        <f t="shared" si="16"/>
        <v>2019</v>
      </c>
      <c r="C299" s="1" t="str">
        <f t="shared" si="17"/>
        <v>Mar</v>
      </c>
      <c r="D299">
        <v>352</v>
      </c>
      <c r="E299">
        <v>358.98001099999999</v>
      </c>
      <c r="F299">
        <v>350.02999899999998</v>
      </c>
      <c r="G299">
        <v>358.85998499999999</v>
      </c>
      <c r="H299">
        <v>358.85998499999999</v>
      </c>
      <c r="I299">
        <f t="shared" si="18"/>
        <v>6.8599849999999947</v>
      </c>
      <c r="J299">
        <v>5387300</v>
      </c>
      <c r="K299">
        <v>-0.11439114391143899</v>
      </c>
      <c r="L299">
        <v>-31</v>
      </c>
      <c r="M299">
        <f t="shared" si="19"/>
        <v>1.9488593749999984E-2</v>
      </c>
      <c r="N299">
        <v>271</v>
      </c>
    </row>
    <row r="300" spans="1:14" x14ac:dyDescent="0.25">
      <c r="A300" s="1">
        <v>43536</v>
      </c>
      <c r="B300" s="1">
        <f t="shared" si="16"/>
        <v>2019</v>
      </c>
      <c r="C300" s="1" t="str">
        <f t="shared" si="17"/>
        <v>Mar</v>
      </c>
      <c r="D300">
        <v>359.36999500000002</v>
      </c>
      <c r="E300">
        <v>360.13000499999998</v>
      </c>
      <c r="F300">
        <v>353.79998799999998</v>
      </c>
      <c r="G300">
        <v>356.26998900000001</v>
      </c>
      <c r="H300">
        <v>356.26998900000001</v>
      </c>
      <c r="I300">
        <f t="shared" si="18"/>
        <v>-3.1000060000000076</v>
      </c>
      <c r="J300">
        <v>5164600</v>
      </c>
      <c r="K300">
        <v>-7.9584775086505105E-2</v>
      </c>
      <c r="L300">
        <v>-23</v>
      </c>
      <c r="M300">
        <f t="shared" si="19"/>
        <v>-8.6262237892175929E-3</v>
      </c>
      <c r="N300">
        <v>289</v>
      </c>
    </row>
    <row r="301" spans="1:14" x14ac:dyDescent="0.25">
      <c r="A301" s="1">
        <v>43537</v>
      </c>
      <c r="B301" s="1">
        <f t="shared" si="16"/>
        <v>2019</v>
      </c>
      <c r="C301" s="1" t="str">
        <f t="shared" si="17"/>
        <v>Mar</v>
      </c>
      <c r="D301">
        <v>355.80999800000001</v>
      </c>
      <c r="E301">
        <v>362.48001099999999</v>
      </c>
      <c r="F301">
        <v>352.76998900000001</v>
      </c>
      <c r="G301">
        <v>361.209991</v>
      </c>
      <c r="H301">
        <v>361.209991</v>
      </c>
      <c r="I301">
        <f t="shared" si="18"/>
        <v>5.3999929999999949</v>
      </c>
      <c r="J301">
        <v>6444100</v>
      </c>
      <c r="K301">
        <v>-0.104615384615384</v>
      </c>
      <c r="L301">
        <v>-34</v>
      </c>
      <c r="M301">
        <f t="shared" si="19"/>
        <v>1.5176619629446149E-2</v>
      </c>
      <c r="N301">
        <v>325</v>
      </c>
    </row>
    <row r="302" spans="1:14" x14ac:dyDescent="0.25">
      <c r="A302" s="1">
        <v>43538</v>
      </c>
      <c r="B302" s="1">
        <f t="shared" si="16"/>
        <v>2019</v>
      </c>
      <c r="C302" s="1" t="str">
        <f t="shared" si="17"/>
        <v>Mar</v>
      </c>
      <c r="D302">
        <v>360.5</v>
      </c>
      <c r="E302">
        <v>363.83999599999999</v>
      </c>
      <c r="F302">
        <v>358.10000600000001</v>
      </c>
      <c r="G302">
        <v>358.82000699999998</v>
      </c>
      <c r="H302">
        <v>358.82000699999998</v>
      </c>
      <c r="I302">
        <f t="shared" si="18"/>
        <v>-1.6799930000000245</v>
      </c>
      <c r="J302">
        <v>5271400</v>
      </c>
      <c r="K302">
        <v>-8.5365853658536495E-2</v>
      </c>
      <c r="L302">
        <v>-28</v>
      </c>
      <c r="M302">
        <f t="shared" si="19"/>
        <v>-4.6601747572816215E-3</v>
      </c>
      <c r="N302">
        <v>328</v>
      </c>
    </row>
    <row r="303" spans="1:14" x14ac:dyDescent="0.25">
      <c r="A303" s="1">
        <v>43539</v>
      </c>
      <c r="B303" s="1">
        <f t="shared" si="16"/>
        <v>2019</v>
      </c>
      <c r="C303" s="1" t="str">
        <f t="shared" si="17"/>
        <v>Mar</v>
      </c>
      <c r="D303">
        <v>361.01998900000001</v>
      </c>
      <c r="E303">
        <v>364</v>
      </c>
      <c r="F303">
        <v>358.89001500000001</v>
      </c>
      <c r="G303">
        <v>361.459991</v>
      </c>
      <c r="H303">
        <v>361.459991</v>
      </c>
      <c r="I303">
        <f t="shared" si="18"/>
        <v>0.44000199999999268</v>
      </c>
      <c r="J303">
        <v>8444500</v>
      </c>
      <c r="K303">
        <v>-1.4662756598240401E-2</v>
      </c>
      <c r="L303">
        <v>-5</v>
      </c>
      <c r="M303">
        <f t="shared" si="19"/>
        <v>1.2187746202606878E-3</v>
      </c>
      <c r="N303">
        <v>341</v>
      </c>
    </row>
    <row r="304" spans="1:14" x14ac:dyDescent="0.25">
      <c r="A304" s="1">
        <v>43542</v>
      </c>
      <c r="B304" s="1">
        <f t="shared" si="16"/>
        <v>2019</v>
      </c>
      <c r="C304" s="1" t="str">
        <f t="shared" si="17"/>
        <v>Mar</v>
      </c>
      <c r="D304">
        <v>362.47000100000002</v>
      </c>
      <c r="E304">
        <v>370.97000100000002</v>
      </c>
      <c r="F304">
        <v>361.85998499999999</v>
      </c>
      <c r="G304">
        <v>363.44000199999999</v>
      </c>
      <c r="H304">
        <v>363.44000199999999</v>
      </c>
      <c r="I304">
        <f t="shared" si="18"/>
        <v>0.97000099999996792</v>
      </c>
      <c r="J304">
        <v>7194700</v>
      </c>
      <c r="K304">
        <v>-2.9850746268656001E-3</v>
      </c>
      <c r="L304">
        <v>-1</v>
      </c>
      <c r="M304">
        <f t="shared" si="19"/>
        <v>2.6760862894139696E-3</v>
      </c>
      <c r="N304">
        <v>335</v>
      </c>
    </row>
    <row r="305" spans="1:14" x14ac:dyDescent="0.25">
      <c r="A305" s="1">
        <v>43543</v>
      </c>
      <c r="B305" s="1">
        <f t="shared" si="16"/>
        <v>2019</v>
      </c>
      <c r="C305" s="1" t="str">
        <f t="shared" si="17"/>
        <v>Mar</v>
      </c>
      <c r="D305">
        <v>366.39999399999999</v>
      </c>
      <c r="E305">
        <v>366.959991</v>
      </c>
      <c r="F305">
        <v>356.79998799999998</v>
      </c>
      <c r="G305">
        <v>358.77999899999998</v>
      </c>
      <c r="H305">
        <v>358.77999899999998</v>
      </c>
      <c r="I305">
        <f t="shared" si="18"/>
        <v>-7.6199950000000172</v>
      </c>
      <c r="J305">
        <v>7541400</v>
      </c>
      <c r="K305">
        <v>-0.13178294573643401</v>
      </c>
      <c r="L305">
        <v>-51</v>
      </c>
      <c r="M305">
        <f t="shared" si="19"/>
        <v>-2.0796929925713966E-2</v>
      </c>
      <c r="N305">
        <v>387</v>
      </c>
    </row>
    <row r="306" spans="1:14" x14ac:dyDescent="0.25">
      <c r="A306" s="1">
        <v>43544</v>
      </c>
      <c r="B306" s="1">
        <f t="shared" si="16"/>
        <v>2019</v>
      </c>
      <c r="C306" s="1" t="str">
        <f t="shared" si="17"/>
        <v>Mar</v>
      </c>
      <c r="D306">
        <v>358.91000400000001</v>
      </c>
      <c r="E306">
        <v>375.89999399999999</v>
      </c>
      <c r="F306">
        <v>357.01001000000002</v>
      </c>
      <c r="G306">
        <v>375.22000100000002</v>
      </c>
      <c r="H306">
        <v>375.22000100000002</v>
      </c>
      <c r="I306">
        <f t="shared" si="18"/>
        <v>16.30999700000001</v>
      </c>
      <c r="J306">
        <v>10917200</v>
      </c>
      <c r="K306">
        <v>8.6805555555555004E-3</v>
      </c>
      <c r="L306">
        <v>5</v>
      </c>
      <c r="M306">
        <f t="shared" si="19"/>
        <v>4.5443138442025729E-2</v>
      </c>
      <c r="N306">
        <v>576</v>
      </c>
    </row>
    <row r="307" spans="1:14" x14ac:dyDescent="0.25">
      <c r="A307" s="1">
        <v>43545</v>
      </c>
      <c r="B307" s="1">
        <f t="shared" si="16"/>
        <v>2019</v>
      </c>
      <c r="C307" s="1" t="str">
        <f t="shared" si="17"/>
        <v>Mar</v>
      </c>
      <c r="D307">
        <v>374</v>
      </c>
      <c r="E307">
        <v>379</v>
      </c>
      <c r="F307">
        <v>370.60998499999999</v>
      </c>
      <c r="G307">
        <v>377.86999500000002</v>
      </c>
      <c r="H307">
        <v>377.86999500000002</v>
      </c>
      <c r="I307">
        <f t="shared" si="18"/>
        <v>3.8699950000000172</v>
      </c>
      <c r="J307">
        <v>8544000</v>
      </c>
      <c r="K307">
        <v>-4.4392523364485903E-2</v>
      </c>
      <c r="L307">
        <v>-19</v>
      </c>
      <c r="M307">
        <f t="shared" si="19"/>
        <v>1.0347580213903789E-2</v>
      </c>
      <c r="N307">
        <v>428</v>
      </c>
    </row>
    <row r="308" spans="1:14" x14ac:dyDescent="0.25">
      <c r="A308" s="1">
        <v>43546</v>
      </c>
      <c r="B308" s="1">
        <f t="shared" si="16"/>
        <v>2019</v>
      </c>
      <c r="C308" s="1" t="str">
        <f t="shared" si="17"/>
        <v>Mar</v>
      </c>
      <c r="D308">
        <v>375.95001200000002</v>
      </c>
      <c r="E308">
        <v>376.42999300000002</v>
      </c>
      <c r="F308">
        <v>360.040009</v>
      </c>
      <c r="G308">
        <v>361.01001000000002</v>
      </c>
      <c r="H308">
        <v>361.01001000000002</v>
      </c>
      <c r="I308">
        <f t="shared" si="18"/>
        <v>-14.940001999999993</v>
      </c>
      <c r="J308">
        <v>8661300</v>
      </c>
      <c r="K308">
        <v>-4.4619422572178401E-2</v>
      </c>
      <c r="L308">
        <v>-17</v>
      </c>
      <c r="M308">
        <f t="shared" si="19"/>
        <v>-3.9739331089581109E-2</v>
      </c>
      <c r="N308">
        <v>381</v>
      </c>
    </row>
    <row r="309" spans="1:14" x14ac:dyDescent="0.25">
      <c r="A309" s="1">
        <v>43549</v>
      </c>
      <c r="B309" s="1">
        <f t="shared" si="16"/>
        <v>2019</v>
      </c>
      <c r="C309" s="1" t="str">
        <f t="shared" si="17"/>
        <v>Mar</v>
      </c>
      <c r="D309">
        <v>359</v>
      </c>
      <c r="E309">
        <v>367.040009</v>
      </c>
      <c r="F309">
        <v>357.44000199999999</v>
      </c>
      <c r="G309">
        <v>366.23001099999999</v>
      </c>
      <c r="H309">
        <v>366.23001099999999</v>
      </c>
      <c r="I309">
        <f t="shared" si="18"/>
        <v>7.2300109999999904</v>
      </c>
      <c r="J309">
        <v>8473800</v>
      </c>
      <c r="K309">
        <v>-0.107981220657277</v>
      </c>
      <c r="L309">
        <v>-46</v>
      </c>
      <c r="M309">
        <f t="shared" si="19"/>
        <v>2.0139306406685209E-2</v>
      </c>
      <c r="N309">
        <v>426</v>
      </c>
    </row>
    <row r="310" spans="1:14" x14ac:dyDescent="0.25">
      <c r="A310" s="1">
        <v>43550</v>
      </c>
      <c r="B310" s="1">
        <f t="shared" si="16"/>
        <v>2019</v>
      </c>
      <c r="C310" s="1" t="str">
        <f t="shared" si="17"/>
        <v>Mar</v>
      </c>
      <c r="D310">
        <v>367.86999500000002</v>
      </c>
      <c r="E310">
        <v>368.38000499999998</v>
      </c>
      <c r="F310">
        <v>358.01998900000001</v>
      </c>
      <c r="G310">
        <v>359.97000100000002</v>
      </c>
      <c r="H310">
        <v>359.97000100000002</v>
      </c>
      <c r="I310">
        <f t="shared" si="18"/>
        <v>-7.8999939999999924</v>
      </c>
      <c r="J310">
        <v>7666500</v>
      </c>
      <c r="K310">
        <v>-9.0909090909090898E-2</v>
      </c>
      <c r="L310">
        <v>-30</v>
      </c>
      <c r="M310">
        <f t="shared" si="19"/>
        <v>-2.1474961555372277E-2</v>
      </c>
      <c r="N310">
        <v>330</v>
      </c>
    </row>
    <row r="311" spans="1:14" x14ac:dyDescent="0.25">
      <c r="A311" s="1">
        <v>43551</v>
      </c>
      <c r="B311" s="1">
        <f t="shared" si="16"/>
        <v>2019</v>
      </c>
      <c r="C311" s="1" t="str">
        <f t="shared" si="17"/>
        <v>Mar</v>
      </c>
      <c r="D311">
        <v>361</v>
      </c>
      <c r="E311">
        <v>362.47000100000002</v>
      </c>
      <c r="F311">
        <v>350.36999500000002</v>
      </c>
      <c r="G311">
        <v>353.36999500000002</v>
      </c>
      <c r="H311">
        <v>353.36999500000002</v>
      </c>
      <c r="I311">
        <f t="shared" si="18"/>
        <v>-7.6300049999999828</v>
      </c>
      <c r="J311">
        <v>7852400</v>
      </c>
      <c r="K311">
        <v>-0.11721611721611699</v>
      </c>
      <c r="L311">
        <v>-32</v>
      </c>
      <c r="M311">
        <f t="shared" si="19"/>
        <v>-2.1135747922437626E-2</v>
      </c>
      <c r="N311">
        <v>273</v>
      </c>
    </row>
    <row r="312" spans="1:14" x14ac:dyDescent="0.25">
      <c r="A312" s="1">
        <v>43552</v>
      </c>
      <c r="B312" s="1">
        <f t="shared" si="16"/>
        <v>2019</v>
      </c>
      <c r="C312" s="1" t="str">
        <f t="shared" si="17"/>
        <v>Mar</v>
      </c>
      <c r="D312">
        <v>354.48998999999998</v>
      </c>
      <c r="E312">
        <v>355.94000199999999</v>
      </c>
      <c r="F312">
        <v>349.20001200000002</v>
      </c>
      <c r="G312">
        <v>354.60998499999999</v>
      </c>
      <c r="H312">
        <v>354.60998499999999</v>
      </c>
      <c r="I312">
        <f t="shared" si="18"/>
        <v>0.11999500000001717</v>
      </c>
      <c r="J312">
        <v>4361000</v>
      </c>
      <c r="K312">
        <v>-8.0586080586080494E-2</v>
      </c>
      <c r="L312">
        <v>-22</v>
      </c>
      <c r="M312">
        <f t="shared" si="19"/>
        <v>3.3850039037778521E-4</v>
      </c>
      <c r="N312">
        <v>273</v>
      </c>
    </row>
    <row r="313" spans="1:14" x14ac:dyDescent="0.25">
      <c r="A313" s="1">
        <v>43553</v>
      </c>
      <c r="B313" s="1">
        <f t="shared" si="16"/>
        <v>2019</v>
      </c>
      <c r="C313" s="1" t="str">
        <f t="shared" si="17"/>
        <v>Mar</v>
      </c>
      <c r="D313">
        <v>357.16000400000001</v>
      </c>
      <c r="E313">
        <v>358.25</v>
      </c>
      <c r="F313">
        <v>353.709991</v>
      </c>
      <c r="G313">
        <v>356.55999800000001</v>
      </c>
      <c r="H313">
        <v>356.55999800000001</v>
      </c>
      <c r="I313">
        <f t="shared" si="18"/>
        <v>-0.60000600000000759</v>
      </c>
      <c r="J313">
        <v>4705600</v>
      </c>
      <c r="K313">
        <v>-9.2165898617511496E-2</v>
      </c>
      <c r="L313">
        <v>-20</v>
      </c>
      <c r="M313">
        <f t="shared" si="19"/>
        <v>-1.6799361442498123E-3</v>
      </c>
      <c r="N313">
        <v>217</v>
      </c>
    </row>
    <row r="314" spans="1:14" x14ac:dyDescent="0.25">
      <c r="A314" s="1">
        <v>43556</v>
      </c>
      <c r="B314" s="1">
        <f t="shared" si="16"/>
        <v>2019</v>
      </c>
      <c r="C314" s="1" t="str">
        <f t="shared" si="17"/>
        <v>Apr</v>
      </c>
      <c r="D314">
        <v>359</v>
      </c>
      <c r="E314">
        <v>368.32998700000002</v>
      </c>
      <c r="F314">
        <v>358.51001000000002</v>
      </c>
      <c r="G314">
        <v>366.959991</v>
      </c>
      <c r="H314">
        <v>366.959991</v>
      </c>
      <c r="I314">
        <f t="shared" si="18"/>
        <v>7.9599910000000023</v>
      </c>
      <c r="J314">
        <v>7036100</v>
      </c>
      <c r="K314">
        <v>-7.1684587813620002E-3</v>
      </c>
      <c r="L314">
        <v>-2</v>
      </c>
      <c r="M314">
        <f t="shared" si="19"/>
        <v>2.2172676880222848E-2</v>
      </c>
      <c r="N314">
        <v>279</v>
      </c>
    </row>
    <row r="315" spans="1:14" x14ac:dyDescent="0.25">
      <c r="A315" s="1">
        <v>43557</v>
      </c>
      <c r="B315" s="1">
        <f t="shared" si="16"/>
        <v>2019</v>
      </c>
      <c r="C315" s="1" t="str">
        <f t="shared" si="17"/>
        <v>Apr</v>
      </c>
      <c r="D315">
        <v>366.25</v>
      </c>
      <c r="E315">
        <v>368.42001299999998</v>
      </c>
      <c r="F315">
        <v>362.22000100000002</v>
      </c>
      <c r="G315">
        <v>367.72000100000002</v>
      </c>
      <c r="H315">
        <v>367.72000100000002</v>
      </c>
      <c r="I315">
        <f t="shared" si="18"/>
        <v>1.4700010000000248</v>
      </c>
      <c r="J315">
        <v>5158700</v>
      </c>
      <c r="K315">
        <v>-3.3742331288343502E-2</v>
      </c>
      <c r="L315">
        <v>-11</v>
      </c>
      <c r="M315">
        <f t="shared" si="19"/>
        <v>4.0136546075086E-3</v>
      </c>
      <c r="N315">
        <v>326</v>
      </c>
    </row>
    <row r="316" spans="1:14" x14ac:dyDescent="0.25">
      <c r="A316" s="1">
        <v>43558</v>
      </c>
      <c r="B316" s="1">
        <f t="shared" si="16"/>
        <v>2019</v>
      </c>
      <c r="C316" s="1" t="str">
        <f t="shared" si="17"/>
        <v>Apr</v>
      </c>
      <c r="D316">
        <v>369.26001000000002</v>
      </c>
      <c r="E316">
        <v>373.41000400000001</v>
      </c>
      <c r="F316">
        <v>366.19000199999999</v>
      </c>
      <c r="G316">
        <v>369.75</v>
      </c>
      <c r="H316">
        <v>369.75</v>
      </c>
      <c r="I316">
        <f t="shared" si="18"/>
        <v>0.4899899999999775</v>
      </c>
      <c r="J316">
        <v>5368900</v>
      </c>
      <c r="K316">
        <v>-3.8575667655786301E-2</v>
      </c>
      <c r="L316">
        <v>-13</v>
      </c>
      <c r="M316">
        <f t="shared" si="19"/>
        <v>1.3269511637612138E-3</v>
      </c>
      <c r="N316">
        <v>337</v>
      </c>
    </row>
    <row r="317" spans="1:14" x14ac:dyDescent="0.25">
      <c r="A317" s="1">
        <v>43559</v>
      </c>
      <c r="B317" s="1">
        <f t="shared" si="16"/>
        <v>2019</v>
      </c>
      <c r="C317" s="1" t="str">
        <f t="shared" si="17"/>
        <v>Apr</v>
      </c>
      <c r="D317">
        <v>370.07000699999998</v>
      </c>
      <c r="E317">
        <v>372.04998799999998</v>
      </c>
      <c r="F317">
        <v>362.39999399999999</v>
      </c>
      <c r="G317">
        <v>367.88000499999998</v>
      </c>
      <c r="H317">
        <v>367.88000499999998</v>
      </c>
      <c r="I317">
        <f t="shared" si="18"/>
        <v>-2.1900019999999927</v>
      </c>
      <c r="J317">
        <v>4627300</v>
      </c>
      <c r="K317">
        <v>-4.8780487804878002E-2</v>
      </c>
      <c r="L317">
        <v>-14</v>
      </c>
      <c r="M317">
        <f t="shared" si="19"/>
        <v>-5.9178046277065435E-3</v>
      </c>
      <c r="N317">
        <v>287</v>
      </c>
    </row>
    <row r="318" spans="1:14" x14ac:dyDescent="0.25">
      <c r="A318" s="1">
        <v>43560</v>
      </c>
      <c r="B318" s="1">
        <f t="shared" si="16"/>
        <v>2019</v>
      </c>
      <c r="C318" s="1" t="str">
        <f t="shared" si="17"/>
        <v>Apr</v>
      </c>
      <c r="D318">
        <v>369</v>
      </c>
      <c r="E318">
        <v>369.79998799999998</v>
      </c>
      <c r="F318">
        <v>364.66000400000001</v>
      </c>
      <c r="G318">
        <v>365.48998999999998</v>
      </c>
      <c r="H318">
        <v>365.48998999999998</v>
      </c>
      <c r="I318">
        <f t="shared" si="18"/>
        <v>-3.5100100000000225</v>
      </c>
      <c r="J318">
        <v>3905500</v>
      </c>
      <c r="K318">
        <v>-0.10629921259842499</v>
      </c>
      <c r="L318">
        <v>-27</v>
      </c>
      <c r="M318">
        <f t="shared" si="19"/>
        <v>-9.512222222222283E-3</v>
      </c>
      <c r="N318">
        <v>254</v>
      </c>
    </row>
    <row r="319" spans="1:14" x14ac:dyDescent="0.25">
      <c r="A319" s="1">
        <v>43563</v>
      </c>
      <c r="B319" s="1">
        <f t="shared" si="16"/>
        <v>2019</v>
      </c>
      <c r="C319" s="1" t="str">
        <f t="shared" si="17"/>
        <v>Apr</v>
      </c>
      <c r="D319">
        <v>365.10998499999999</v>
      </c>
      <c r="E319">
        <v>365.94000199999999</v>
      </c>
      <c r="F319">
        <v>359.92999300000002</v>
      </c>
      <c r="G319">
        <v>361.41000400000001</v>
      </c>
      <c r="H319">
        <v>361.41000400000001</v>
      </c>
      <c r="I319">
        <f t="shared" si="18"/>
        <v>-3.6999809999999798</v>
      </c>
      <c r="J319">
        <v>4653800</v>
      </c>
      <c r="K319">
        <v>-0.112211221122112</v>
      </c>
      <c r="L319">
        <v>-34</v>
      </c>
      <c r="M319">
        <f t="shared" si="19"/>
        <v>-1.0133880616822846E-2</v>
      </c>
      <c r="N319">
        <v>303</v>
      </c>
    </row>
    <row r="320" spans="1:14" x14ac:dyDescent="0.25">
      <c r="A320" s="1">
        <v>43564</v>
      </c>
      <c r="B320" s="1">
        <f t="shared" si="16"/>
        <v>2019</v>
      </c>
      <c r="C320" s="1" t="str">
        <f t="shared" si="17"/>
        <v>Apr</v>
      </c>
      <c r="D320">
        <v>360.540009</v>
      </c>
      <c r="E320">
        <v>366.73998999999998</v>
      </c>
      <c r="F320">
        <v>359</v>
      </c>
      <c r="G320">
        <v>364.709991</v>
      </c>
      <c r="H320">
        <v>364.709991</v>
      </c>
      <c r="I320">
        <f t="shared" si="18"/>
        <v>4.1699820000000045</v>
      </c>
      <c r="J320">
        <v>5439200</v>
      </c>
      <c r="K320">
        <v>-2.9569892473118201E-2</v>
      </c>
      <c r="L320">
        <v>-11</v>
      </c>
      <c r="M320">
        <f t="shared" si="19"/>
        <v>1.1565934142970536E-2</v>
      </c>
      <c r="N320">
        <v>372</v>
      </c>
    </row>
    <row r="321" spans="1:14" x14ac:dyDescent="0.25">
      <c r="A321" s="1">
        <v>43565</v>
      </c>
      <c r="B321" s="1">
        <f t="shared" si="16"/>
        <v>2019</v>
      </c>
      <c r="C321" s="1" t="str">
        <f t="shared" si="17"/>
        <v>Apr</v>
      </c>
      <c r="D321">
        <v>365.790009</v>
      </c>
      <c r="E321">
        <v>368.85000600000001</v>
      </c>
      <c r="F321">
        <v>362.25</v>
      </c>
      <c r="G321">
        <v>363.92001299999998</v>
      </c>
      <c r="H321">
        <v>363.92001299999998</v>
      </c>
      <c r="I321">
        <f t="shared" si="18"/>
        <v>-1.8699960000000146</v>
      </c>
      <c r="J321">
        <v>4545600</v>
      </c>
      <c r="K321">
        <v>-6.8877551020408101E-2</v>
      </c>
      <c r="L321">
        <v>-27</v>
      </c>
      <c r="M321">
        <f t="shared" si="19"/>
        <v>-5.1122117990926716E-3</v>
      </c>
      <c r="N321">
        <v>392</v>
      </c>
    </row>
    <row r="322" spans="1:14" x14ac:dyDescent="0.25">
      <c r="A322" s="1">
        <v>43566</v>
      </c>
      <c r="B322" s="1">
        <f t="shared" ref="B322:B385" si="20">YEAR(A322)</f>
        <v>2019</v>
      </c>
      <c r="C322" s="1" t="str">
        <f t="shared" ref="C322:C385" si="21">TEXT(A322,"mmm")</f>
        <v>Apr</v>
      </c>
      <c r="D322">
        <v>365</v>
      </c>
      <c r="E322">
        <v>370.11999500000002</v>
      </c>
      <c r="F322">
        <v>360.80999800000001</v>
      </c>
      <c r="G322">
        <v>367.64999399999999</v>
      </c>
      <c r="H322">
        <v>367.64999399999999</v>
      </c>
      <c r="I322">
        <f t="shared" ref="I322:I385" si="22">G322-D322</f>
        <v>2.6499939999999924</v>
      </c>
      <c r="J322">
        <v>6526900</v>
      </c>
      <c r="K322">
        <v>-6.1176470588235297E-2</v>
      </c>
      <c r="L322">
        <v>-26</v>
      </c>
      <c r="M322">
        <f t="shared" ref="M322:M385" si="23">(G322-D322)/D322</f>
        <v>7.260257534246555E-3</v>
      </c>
      <c r="N322">
        <v>425</v>
      </c>
    </row>
    <row r="323" spans="1:14" x14ac:dyDescent="0.25">
      <c r="A323" s="1">
        <v>43567</v>
      </c>
      <c r="B323" s="1">
        <f t="shared" si="20"/>
        <v>2019</v>
      </c>
      <c r="C323" s="1" t="str">
        <f t="shared" si="21"/>
        <v>Apr</v>
      </c>
      <c r="D323">
        <v>360.69000199999999</v>
      </c>
      <c r="E323">
        <v>361.75</v>
      </c>
      <c r="F323">
        <v>349.35998499999999</v>
      </c>
      <c r="G323">
        <v>351.14001500000001</v>
      </c>
      <c r="H323">
        <v>351.14001500000001</v>
      </c>
      <c r="I323">
        <f t="shared" si="22"/>
        <v>-9.5499869999999873</v>
      </c>
      <c r="J323">
        <v>15646200</v>
      </c>
      <c r="K323">
        <v>-0.15370370370370301</v>
      </c>
      <c r="L323">
        <v>-166</v>
      </c>
      <c r="M323">
        <f t="shared" si="23"/>
        <v>-2.6476993947838864E-2</v>
      </c>
      <c r="N323">
        <v>1080</v>
      </c>
    </row>
    <row r="324" spans="1:14" x14ac:dyDescent="0.25">
      <c r="A324" s="1">
        <v>43570</v>
      </c>
      <c r="B324" s="1">
        <f t="shared" si="20"/>
        <v>2019</v>
      </c>
      <c r="C324" s="1" t="str">
        <f t="shared" si="21"/>
        <v>Apr</v>
      </c>
      <c r="D324">
        <v>350.709991</v>
      </c>
      <c r="E324">
        <v>352.209991</v>
      </c>
      <c r="F324">
        <v>342.26998900000001</v>
      </c>
      <c r="G324">
        <v>348.86999500000002</v>
      </c>
      <c r="H324">
        <v>348.86999500000002</v>
      </c>
      <c r="I324">
        <f t="shared" si="22"/>
        <v>-1.8399959999999851</v>
      </c>
      <c r="J324">
        <v>8842300</v>
      </c>
      <c r="K324">
        <v>-0.12181818181818101</v>
      </c>
      <c r="L324">
        <v>-67</v>
      </c>
      <c r="M324">
        <f t="shared" si="23"/>
        <v>-5.2464886864314773E-3</v>
      </c>
      <c r="N324">
        <v>550</v>
      </c>
    </row>
    <row r="325" spans="1:14" x14ac:dyDescent="0.25">
      <c r="A325" s="1">
        <v>43571</v>
      </c>
      <c r="B325" s="1">
        <f t="shared" si="20"/>
        <v>2019</v>
      </c>
      <c r="C325" s="1" t="str">
        <f t="shared" si="21"/>
        <v>Apr</v>
      </c>
      <c r="D325">
        <v>355</v>
      </c>
      <c r="E325">
        <v>364.48001099999999</v>
      </c>
      <c r="F325">
        <v>352.72000100000002</v>
      </c>
      <c r="G325">
        <v>359.459991</v>
      </c>
      <c r="H325">
        <v>359.459991</v>
      </c>
      <c r="I325">
        <f t="shared" si="22"/>
        <v>4.4599910000000023</v>
      </c>
      <c r="J325">
        <v>18740200</v>
      </c>
      <c r="K325">
        <v>-7.7460687245195101E-2</v>
      </c>
      <c r="L325">
        <v>-133</v>
      </c>
      <c r="M325">
        <f t="shared" si="23"/>
        <v>1.2563354929577471E-2</v>
      </c>
      <c r="N325">
        <v>1717</v>
      </c>
    </row>
    <row r="326" spans="1:14" x14ac:dyDescent="0.25">
      <c r="A326" s="1">
        <v>43572</v>
      </c>
      <c r="B326" s="1">
        <f t="shared" si="20"/>
        <v>2019</v>
      </c>
      <c r="C326" s="1" t="str">
        <f t="shared" si="21"/>
        <v>Apr</v>
      </c>
      <c r="D326">
        <v>365.04998799999998</v>
      </c>
      <c r="E326">
        <v>368.76001000000002</v>
      </c>
      <c r="F326">
        <v>350.60000600000001</v>
      </c>
      <c r="G326">
        <v>354.73998999999998</v>
      </c>
      <c r="H326">
        <v>354.73998999999998</v>
      </c>
      <c r="I326">
        <f t="shared" si="22"/>
        <v>-10.309998000000007</v>
      </c>
      <c r="J326">
        <v>18054100</v>
      </c>
      <c r="K326">
        <v>-8.2629107981220598E-2</v>
      </c>
      <c r="L326">
        <v>-88</v>
      </c>
      <c r="M326">
        <f t="shared" si="23"/>
        <v>-2.8242701928263062E-2</v>
      </c>
      <c r="N326">
        <v>1065</v>
      </c>
    </row>
    <row r="327" spans="1:14" x14ac:dyDescent="0.25">
      <c r="A327" s="1">
        <v>43573</v>
      </c>
      <c r="B327" s="1">
        <f t="shared" si="20"/>
        <v>2019</v>
      </c>
      <c r="C327" s="1" t="str">
        <f t="shared" si="21"/>
        <v>Apr</v>
      </c>
      <c r="D327">
        <v>355</v>
      </c>
      <c r="E327">
        <v>360.41000400000001</v>
      </c>
      <c r="F327">
        <v>351.64001500000001</v>
      </c>
      <c r="G327">
        <v>360.35000600000001</v>
      </c>
      <c r="H327">
        <v>360.35000600000001</v>
      </c>
      <c r="I327">
        <f t="shared" si="22"/>
        <v>5.3500060000000076</v>
      </c>
      <c r="J327">
        <v>8353200</v>
      </c>
      <c r="K327">
        <v>-4.4444444444444398E-2</v>
      </c>
      <c r="L327">
        <v>-20</v>
      </c>
      <c r="M327">
        <f t="shared" si="23"/>
        <v>1.507043943661974E-2</v>
      </c>
      <c r="N327">
        <v>450</v>
      </c>
    </row>
    <row r="328" spans="1:14" x14ac:dyDescent="0.25">
      <c r="A328" s="1">
        <v>43577</v>
      </c>
      <c r="B328" s="1">
        <f t="shared" si="20"/>
        <v>2019</v>
      </c>
      <c r="C328" s="1" t="str">
        <f t="shared" si="21"/>
        <v>Apr</v>
      </c>
      <c r="D328">
        <v>359.70001200000002</v>
      </c>
      <c r="E328">
        <v>377.69000199999999</v>
      </c>
      <c r="F328">
        <v>359</v>
      </c>
      <c r="G328">
        <v>377.33999599999999</v>
      </c>
      <c r="H328">
        <v>377.33999599999999</v>
      </c>
      <c r="I328">
        <f t="shared" si="22"/>
        <v>17.63998399999997</v>
      </c>
      <c r="J328">
        <v>11980500</v>
      </c>
      <c r="K328">
        <v>-1.7211703958691E-3</v>
      </c>
      <c r="L328">
        <v>-1</v>
      </c>
      <c r="M328">
        <f t="shared" si="23"/>
        <v>4.9040821271921359E-2</v>
      </c>
      <c r="N328">
        <v>581</v>
      </c>
    </row>
    <row r="329" spans="1:14" x14ac:dyDescent="0.25">
      <c r="A329" s="1">
        <v>43578</v>
      </c>
      <c r="B329" s="1">
        <f t="shared" si="20"/>
        <v>2019</v>
      </c>
      <c r="C329" s="1" t="str">
        <f t="shared" si="21"/>
        <v>Apr</v>
      </c>
      <c r="D329">
        <v>375.45001200000002</v>
      </c>
      <c r="E329">
        <v>384.79998799999998</v>
      </c>
      <c r="F329">
        <v>374.709991</v>
      </c>
      <c r="G329">
        <v>381.89001500000001</v>
      </c>
      <c r="H329">
        <v>381.89001500000001</v>
      </c>
      <c r="I329">
        <f t="shared" si="22"/>
        <v>6.4400029999999902</v>
      </c>
      <c r="J329">
        <v>10089800</v>
      </c>
      <c r="K329">
        <v>-4.1431261770244802E-2</v>
      </c>
      <c r="L329">
        <v>-22</v>
      </c>
      <c r="M329">
        <f t="shared" si="23"/>
        <v>1.7152757475474498E-2</v>
      </c>
      <c r="N329">
        <v>531</v>
      </c>
    </row>
    <row r="330" spans="1:14" x14ac:dyDescent="0.25">
      <c r="A330" s="1">
        <v>43579</v>
      </c>
      <c r="B330" s="1">
        <f t="shared" si="20"/>
        <v>2019</v>
      </c>
      <c r="C330" s="1" t="str">
        <f t="shared" si="21"/>
        <v>Apr</v>
      </c>
      <c r="D330">
        <v>381.07000699999998</v>
      </c>
      <c r="E330">
        <v>381.89999399999999</v>
      </c>
      <c r="F330">
        <v>373.26998900000001</v>
      </c>
      <c r="G330">
        <v>374.23001099999999</v>
      </c>
      <c r="H330">
        <v>374.23001099999999</v>
      </c>
      <c r="I330">
        <f t="shared" si="22"/>
        <v>-6.8399959999999851</v>
      </c>
      <c r="J330">
        <v>6541900</v>
      </c>
      <c r="K330">
        <v>-9.75056689342403E-2</v>
      </c>
      <c r="L330">
        <v>-43</v>
      </c>
      <c r="M330">
        <f t="shared" si="23"/>
        <v>-1.7949447278331684E-2</v>
      </c>
      <c r="N330">
        <v>441</v>
      </c>
    </row>
    <row r="331" spans="1:14" x14ac:dyDescent="0.25">
      <c r="A331" s="1">
        <v>43580</v>
      </c>
      <c r="B331" s="1">
        <f t="shared" si="20"/>
        <v>2019</v>
      </c>
      <c r="C331" s="1" t="str">
        <f t="shared" si="21"/>
        <v>Apr</v>
      </c>
      <c r="D331">
        <v>374.48998999999998</v>
      </c>
      <c r="E331">
        <v>374.76001000000002</v>
      </c>
      <c r="F331">
        <v>365.70001200000002</v>
      </c>
      <c r="G331">
        <v>368.32998700000002</v>
      </c>
      <c r="H331">
        <v>368.32998700000002</v>
      </c>
      <c r="I331">
        <f t="shared" si="22"/>
        <v>-6.1600029999999606</v>
      </c>
      <c r="J331">
        <v>6255500</v>
      </c>
      <c r="K331">
        <v>-0.117816091954022</v>
      </c>
      <c r="L331">
        <v>-41</v>
      </c>
      <c r="M331">
        <f t="shared" si="23"/>
        <v>-1.6449045807606127E-2</v>
      </c>
      <c r="N331">
        <v>348</v>
      </c>
    </row>
    <row r="332" spans="1:14" x14ac:dyDescent="0.25">
      <c r="A332" s="1">
        <v>43581</v>
      </c>
      <c r="B332" s="1">
        <f t="shared" si="20"/>
        <v>2019</v>
      </c>
      <c r="C332" s="1" t="str">
        <f t="shared" si="21"/>
        <v>Apr</v>
      </c>
      <c r="D332">
        <v>368.35000600000001</v>
      </c>
      <c r="E332">
        <v>375.14001500000001</v>
      </c>
      <c r="F332">
        <v>366.23998999999998</v>
      </c>
      <c r="G332">
        <v>374.85000600000001</v>
      </c>
      <c r="H332">
        <v>374.85000600000001</v>
      </c>
      <c r="I332">
        <f t="shared" si="22"/>
        <v>6.5</v>
      </c>
      <c r="J332">
        <v>5621900</v>
      </c>
      <c r="K332">
        <v>-6.3291139240506306E-2</v>
      </c>
      <c r="L332">
        <v>-20</v>
      </c>
      <c r="M332">
        <f t="shared" si="23"/>
        <v>1.7646260062773013E-2</v>
      </c>
      <c r="N332">
        <v>316</v>
      </c>
    </row>
    <row r="333" spans="1:14" x14ac:dyDescent="0.25">
      <c r="A333" s="1">
        <v>43584</v>
      </c>
      <c r="B333" s="1">
        <f t="shared" si="20"/>
        <v>2019</v>
      </c>
      <c r="C333" s="1" t="str">
        <f t="shared" si="21"/>
        <v>Apr</v>
      </c>
      <c r="D333">
        <v>373.67999300000002</v>
      </c>
      <c r="E333">
        <v>374.57998700000002</v>
      </c>
      <c r="F333">
        <v>369.11999500000002</v>
      </c>
      <c r="G333">
        <v>371.82998700000002</v>
      </c>
      <c r="H333">
        <v>371.82998700000002</v>
      </c>
      <c r="I333">
        <f t="shared" si="22"/>
        <v>-1.8500060000000076</v>
      </c>
      <c r="J333">
        <v>3821700</v>
      </c>
      <c r="K333">
        <v>-7.5098814229248995E-2</v>
      </c>
      <c r="L333">
        <v>-19</v>
      </c>
      <c r="M333">
        <f t="shared" si="23"/>
        <v>-4.9507761578233798E-3</v>
      </c>
      <c r="N333">
        <v>253</v>
      </c>
    </row>
    <row r="334" spans="1:14" x14ac:dyDescent="0.25">
      <c r="A334" s="1">
        <v>43585</v>
      </c>
      <c r="B334" s="1">
        <f t="shared" si="20"/>
        <v>2019</v>
      </c>
      <c r="C334" s="1" t="str">
        <f t="shared" si="21"/>
        <v>Apr</v>
      </c>
      <c r="D334">
        <v>369.55999800000001</v>
      </c>
      <c r="E334">
        <v>374.5</v>
      </c>
      <c r="F334">
        <v>368.35000600000001</v>
      </c>
      <c r="G334">
        <v>370.540009</v>
      </c>
      <c r="H334">
        <v>370.540009</v>
      </c>
      <c r="I334">
        <f t="shared" si="22"/>
        <v>0.98001099999999042</v>
      </c>
      <c r="J334">
        <v>3870100</v>
      </c>
      <c r="K334">
        <v>-2.9801324503311199E-2</v>
      </c>
      <c r="L334">
        <v>-9</v>
      </c>
      <c r="M334">
        <f t="shared" si="23"/>
        <v>2.651831922566442E-3</v>
      </c>
      <c r="N334">
        <v>302</v>
      </c>
    </row>
    <row r="335" spans="1:14" x14ac:dyDescent="0.25">
      <c r="A335" s="1">
        <v>43586</v>
      </c>
      <c r="B335" s="1">
        <f t="shared" si="20"/>
        <v>2019</v>
      </c>
      <c r="C335" s="1" t="str">
        <f t="shared" si="21"/>
        <v>May</v>
      </c>
      <c r="D335">
        <v>374</v>
      </c>
      <c r="E335">
        <v>385.98998999999998</v>
      </c>
      <c r="F335">
        <v>373.17001299999998</v>
      </c>
      <c r="G335">
        <v>378.80999800000001</v>
      </c>
      <c r="H335">
        <v>378.80999800000001</v>
      </c>
      <c r="I335">
        <f t="shared" si="22"/>
        <v>4.8099980000000073</v>
      </c>
      <c r="J335">
        <v>9257300</v>
      </c>
      <c r="K335">
        <v>0</v>
      </c>
      <c r="L335">
        <v>0</v>
      </c>
      <c r="M335">
        <f t="shared" si="23"/>
        <v>1.2860957219251356E-2</v>
      </c>
      <c r="N335">
        <v>442</v>
      </c>
    </row>
    <row r="336" spans="1:14" x14ac:dyDescent="0.25">
      <c r="A336" s="1">
        <v>43587</v>
      </c>
      <c r="B336" s="1">
        <f t="shared" si="20"/>
        <v>2019</v>
      </c>
      <c r="C336" s="1" t="str">
        <f t="shared" si="21"/>
        <v>May</v>
      </c>
      <c r="D336">
        <v>378</v>
      </c>
      <c r="E336">
        <v>383.5</v>
      </c>
      <c r="F336">
        <v>374.51001000000002</v>
      </c>
      <c r="G336">
        <v>379.05999800000001</v>
      </c>
      <c r="H336">
        <v>379.05999800000001</v>
      </c>
      <c r="I336">
        <f t="shared" si="22"/>
        <v>1.0599980000000073</v>
      </c>
      <c r="J336">
        <v>5398200</v>
      </c>
      <c r="K336">
        <v>-5.95238095238095E-2</v>
      </c>
      <c r="L336">
        <v>-25</v>
      </c>
      <c r="M336">
        <f t="shared" si="23"/>
        <v>2.8042275132275328E-3</v>
      </c>
      <c r="N336">
        <v>420</v>
      </c>
    </row>
    <row r="337" spans="1:14" x14ac:dyDescent="0.25">
      <c r="A337" s="1">
        <v>43588</v>
      </c>
      <c r="B337" s="1">
        <f t="shared" si="20"/>
        <v>2019</v>
      </c>
      <c r="C337" s="1" t="str">
        <f t="shared" si="21"/>
        <v>May</v>
      </c>
      <c r="D337">
        <v>381.52999899999998</v>
      </c>
      <c r="E337">
        <v>385.02999899999998</v>
      </c>
      <c r="F337">
        <v>378.26998900000001</v>
      </c>
      <c r="G337">
        <v>385.02999899999998</v>
      </c>
      <c r="H337">
        <v>385.02999899999998</v>
      </c>
      <c r="I337">
        <f t="shared" si="22"/>
        <v>3.5</v>
      </c>
      <c r="J337">
        <v>5130300</v>
      </c>
      <c r="K337">
        <v>-7.39856801909307E-2</v>
      </c>
      <c r="L337">
        <v>-31</v>
      </c>
      <c r="M337">
        <f t="shared" si="23"/>
        <v>9.1735905673828808E-3</v>
      </c>
      <c r="N337">
        <v>419</v>
      </c>
    </row>
    <row r="338" spans="1:14" x14ac:dyDescent="0.25">
      <c r="A338" s="1">
        <v>43591</v>
      </c>
      <c r="B338" s="1">
        <f t="shared" si="20"/>
        <v>2019</v>
      </c>
      <c r="C338" s="1" t="str">
        <f t="shared" si="21"/>
        <v>May</v>
      </c>
      <c r="D338">
        <v>377.69000199999999</v>
      </c>
      <c r="E338">
        <v>381.35000600000001</v>
      </c>
      <c r="F338">
        <v>376</v>
      </c>
      <c r="G338">
        <v>378.67001299999998</v>
      </c>
      <c r="H338">
        <v>378.67001299999998</v>
      </c>
      <c r="I338">
        <f t="shared" si="22"/>
        <v>0.98001099999999042</v>
      </c>
      <c r="J338">
        <v>5793100</v>
      </c>
      <c r="K338">
        <v>-8.1159420289854997E-2</v>
      </c>
      <c r="L338">
        <v>-28</v>
      </c>
      <c r="M338">
        <f t="shared" si="23"/>
        <v>2.5947496486814349E-3</v>
      </c>
      <c r="N338">
        <v>345</v>
      </c>
    </row>
    <row r="339" spans="1:14" x14ac:dyDescent="0.25">
      <c r="A339" s="1">
        <v>43592</v>
      </c>
      <c r="B339" s="1">
        <f t="shared" si="20"/>
        <v>2019</v>
      </c>
      <c r="C339" s="1" t="str">
        <f t="shared" si="21"/>
        <v>May</v>
      </c>
      <c r="D339">
        <v>377</v>
      </c>
      <c r="E339">
        <v>379.91000400000001</v>
      </c>
      <c r="F339">
        <v>365.80999800000001</v>
      </c>
      <c r="G339">
        <v>370.459991</v>
      </c>
      <c r="H339">
        <v>370.459991</v>
      </c>
      <c r="I339">
        <f t="shared" si="22"/>
        <v>-6.5400089999999977</v>
      </c>
      <c r="J339">
        <v>6974900</v>
      </c>
      <c r="K339">
        <v>-7.6470588235294096E-2</v>
      </c>
      <c r="L339">
        <v>-26</v>
      </c>
      <c r="M339">
        <f t="shared" si="23"/>
        <v>-1.7347503978779835E-2</v>
      </c>
      <c r="N339">
        <v>340</v>
      </c>
    </row>
    <row r="340" spans="1:14" x14ac:dyDescent="0.25">
      <c r="A340" s="1">
        <v>43593</v>
      </c>
      <c r="B340" s="1">
        <f t="shared" si="20"/>
        <v>2019</v>
      </c>
      <c r="C340" s="1" t="str">
        <f t="shared" si="21"/>
        <v>May</v>
      </c>
      <c r="D340">
        <v>367.92001299999998</v>
      </c>
      <c r="E340">
        <v>369</v>
      </c>
      <c r="F340">
        <v>361.35998499999999</v>
      </c>
      <c r="G340">
        <v>364.36999500000002</v>
      </c>
      <c r="H340">
        <v>364.36999500000002</v>
      </c>
      <c r="I340">
        <f t="shared" si="22"/>
        <v>-3.5500179999999659</v>
      </c>
      <c r="J340">
        <v>6572000</v>
      </c>
      <c r="K340">
        <v>-0.12219451371571</v>
      </c>
      <c r="L340">
        <v>-49</v>
      </c>
      <c r="M340">
        <f t="shared" si="23"/>
        <v>-9.648885286378717E-3</v>
      </c>
      <c r="N340">
        <v>401</v>
      </c>
    </row>
    <row r="341" spans="1:14" x14ac:dyDescent="0.25">
      <c r="A341" s="1">
        <v>43594</v>
      </c>
      <c r="B341" s="1">
        <f t="shared" si="20"/>
        <v>2019</v>
      </c>
      <c r="C341" s="1" t="str">
        <f t="shared" si="21"/>
        <v>May</v>
      </c>
      <c r="D341">
        <v>360.89999399999999</v>
      </c>
      <c r="E341">
        <v>364.20001200000002</v>
      </c>
      <c r="F341">
        <v>352.75</v>
      </c>
      <c r="G341">
        <v>362.75</v>
      </c>
      <c r="H341">
        <v>362.75</v>
      </c>
      <c r="I341">
        <f t="shared" si="22"/>
        <v>1.8500060000000076</v>
      </c>
      <c r="J341">
        <v>5882600</v>
      </c>
      <c r="K341">
        <v>-0.10370370370370301</v>
      </c>
      <c r="L341">
        <v>-42</v>
      </c>
      <c r="M341">
        <f t="shared" si="23"/>
        <v>5.1260904149530344E-3</v>
      </c>
      <c r="N341">
        <v>405</v>
      </c>
    </row>
    <row r="342" spans="1:14" x14ac:dyDescent="0.25">
      <c r="A342" s="1">
        <v>43595</v>
      </c>
      <c r="B342" s="1">
        <f t="shared" si="20"/>
        <v>2019</v>
      </c>
      <c r="C342" s="1" t="str">
        <f t="shared" si="21"/>
        <v>May</v>
      </c>
      <c r="D342">
        <v>361.61999500000002</v>
      </c>
      <c r="E342">
        <v>365.26001000000002</v>
      </c>
      <c r="F342">
        <v>353.05999800000001</v>
      </c>
      <c r="G342">
        <v>361.040009</v>
      </c>
      <c r="H342">
        <v>361.040009</v>
      </c>
      <c r="I342">
        <f t="shared" si="22"/>
        <v>-0.57998600000001943</v>
      </c>
      <c r="J342">
        <v>5657100</v>
      </c>
      <c r="K342">
        <v>-0.11764705882352899</v>
      </c>
      <c r="L342">
        <v>-36</v>
      </c>
      <c r="M342">
        <f t="shared" si="23"/>
        <v>-1.6038548974594709E-3</v>
      </c>
      <c r="N342">
        <v>306</v>
      </c>
    </row>
    <row r="343" spans="1:14" x14ac:dyDescent="0.25">
      <c r="A343" s="1">
        <v>43598</v>
      </c>
      <c r="B343" s="1">
        <f t="shared" si="20"/>
        <v>2019</v>
      </c>
      <c r="C343" s="1" t="str">
        <f t="shared" si="21"/>
        <v>May</v>
      </c>
      <c r="D343">
        <v>352.290009</v>
      </c>
      <c r="E343">
        <v>354.26001000000002</v>
      </c>
      <c r="F343">
        <v>343.10000600000001</v>
      </c>
      <c r="G343">
        <v>345.26001000000002</v>
      </c>
      <c r="H343">
        <v>345.26001000000002</v>
      </c>
      <c r="I343">
        <f t="shared" si="22"/>
        <v>-7.0299989999999752</v>
      </c>
      <c r="J343">
        <v>8026700</v>
      </c>
      <c r="K343">
        <v>-0.100817438692098</v>
      </c>
      <c r="L343">
        <v>-37</v>
      </c>
      <c r="M343">
        <f t="shared" si="23"/>
        <v>-1.9955147237797413E-2</v>
      </c>
      <c r="N343">
        <v>367</v>
      </c>
    </row>
    <row r="344" spans="1:14" x14ac:dyDescent="0.25">
      <c r="A344" s="1">
        <v>43599</v>
      </c>
      <c r="B344" s="1">
        <f t="shared" si="20"/>
        <v>2019</v>
      </c>
      <c r="C344" s="1" t="str">
        <f t="shared" si="21"/>
        <v>May</v>
      </c>
      <c r="D344">
        <v>348.709991</v>
      </c>
      <c r="E344">
        <v>349.95001200000002</v>
      </c>
      <c r="F344">
        <v>342.5</v>
      </c>
      <c r="G344">
        <v>345.60998499999999</v>
      </c>
      <c r="H344">
        <v>345.60998499999999</v>
      </c>
      <c r="I344">
        <f t="shared" si="22"/>
        <v>-3.1000060000000076</v>
      </c>
      <c r="J344">
        <v>5353000</v>
      </c>
      <c r="K344">
        <v>-0.109181141439205</v>
      </c>
      <c r="L344">
        <v>-44</v>
      </c>
      <c r="M344">
        <f t="shared" si="23"/>
        <v>-8.8899259556919543E-3</v>
      </c>
      <c r="N344">
        <v>403</v>
      </c>
    </row>
    <row r="345" spans="1:14" x14ac:dyDescent="0.25">
      <c r="A345" s="1">
        <v>43600</v>
      </c>
      <c r="B345" s="1">
        <f t="shared" si="20"/>
        <v>2019</v>
      </c>
      <c r="C345" s="1" t="str">
        <f t="shared" si="21"/>
        <v>May</v>
      </c>
      <c r="D345">
        <v>343.33999599999999</v>
      </c>
      <c r="E345">
        <v>356.5</v>
      </c>
      <c r="F345">
        <v>341.39001500000001</v>
      </c>
      <c r="G345">
        <v>354.98998999999998</v>
      </c>
      <c r="H345">
        <v>354.98998999999998</v>
      </c>
      <c r="I345">
        <f t="shared" si="22"/>
        <v>11.649993999999992</v>
      </c>
      <c r="J345">
        <v>6340100</v>
      </c>
      <c r="K345">
        <v>-4.7393364928909901E-2</v>
      </c>
      <c r="L345">
        <v>-20</v>
      </c>
      <c r="M345">
        <f t="shared" si="23"/>
        <v>3.3931362893124727E-2</v>
      </c>
      <c r="N345">
        <v>422</v>
      </c>
    </row>
    <row r="346" spans="1:14" x14ac:dyDescent="0.25">
      <c r="A346" s="1">
        <v>43601</v>
      </c>
      <c r="B346" s="1">
        <f t="shared" si="20"/>
        <v>2019</v>
      </c>
      <c r="C346" s="1" t="str">
        <f t="shared" si="21"/>
        <v>May</v>
      </c>
      <c r="D346">
        <v>356.36999500000002</v>
      </c>
      <c r="E346">
        <v>364</v>
      </c>
      <c r="F346">
        <v>353.94000199999999</v>
      </c>
      <c r="G346">
        <v>359.30999800000001</v>
      </c>
      <c r="H346">
        <v>359.30999800000001</v>
      </c>
      <c r="I346">
        <f t="shared" si="22"/>
        <v>2.9400029999999902</v>
      </c>
      <c r="J346">
        <v>6441500</v>
      </c>
      <c r="K346">
        <v>-2.5575447570332401E-2</v>
      </c>
      <c r="L346">
        <v>-10</v>
      </c>
      <c r="M346">
        <f t="shared" si="23"/>
        <v>8.2498612151676518E-3</v>
      </c>
      <c r="N346">
        <v>391</v>
      </c>
    </row>
    <row r="347" spans="1:14" x14ac:dyDescent="0.25">
      <c r="A347" s="1">
        <v>43602</v>
      </c>
      <c r="B347" s="1">
        <f t="shared" si="20"/>
        <v>2019</v>
      </c>
      <c r="C347" s="1" t="str">
        <f t="shared" si="21"/>
        <v>May</v>
      </c>
      <c r="D347">
        <v>356.39001500000001</v>
      </c>
      <c r="E347">
        <v>359.61999500000002</v>
      </c>
      <c r="F347">
        <v>353.790009</v>
      </c>
      <c r="G347">
        <v>354.45001200000002</v>
      </c>
      <c r="H347">
        <v>354.45001200000002</v>
      </c>
      <c r="I347">
        <f t="shared" si="22"/>
        <v>-1.9400029999999902</v>
      </c>
      <c r="J347">
        <v>4725400</v>
      </c>
      <c r="K347">
        <v>-6.5281899109792194E-2</v>
      </c>
      <c r="L347">
        <v>-22</v>
      </c>
      <c r="M347">
        <f t="shared" si="23"/>
        <v>-5.4434830336085316E-3</v>
      </c>
      <c r="N347">
        <v>337</v>
      </c>
    </row>
    <row r="348" spans="1:14" x14ac:dyDescent="0.25">
      <c r="A348" s="1">
        <v>43605</v>
      </c>
      <c r="B348" s="1">
        <f t="shared" si="20"/>
        <v>2019</v>
      </c>
      <c r="C348" s="1" t="str">
        <f t="shared" si="21"/>
        <v>May</v>
      </c>
      <c r="D348">
        <v>351.23001099999999</v>
      </c>
      <c r="E348">
        <v>352.42001299999998</v>
      </c>
      <c r="F348">
        <v>345.39999399999999</v>
      </c>
      <c r="G348">
        <v>348.10998499999999</v>
      </c>
      <c r="H348">
        <v>348.10998499999999</v>
      </c>
      <c r="I348">
        <f t="shared" si="22"/>
        <v>-3.1200259999999957</v>
      </c>
      <c r="J348">
        <v>4621500</v>
      </c>
      <c r="K348">
        <v>-4.9645390070921898E-2</v>
      </c>
      <c r="L348">
        <v>-14</v>
      </c>
      <c r="M348">
        <f t="shared" si="23"/>
        <v>-8.8831418224110583E-3</v>
      </c>
      <c r="N348">
        <v>282</v>
      </c>
    </row>
    <row r="349" spans="1:14" x14ac:dyDescent="0.25">
      <c r="A349" s="1">
        <v>43606</v>
      </c>
      <c r="B349" s="1">
        <f t="shared" si="20"/>
        <v>2019</v>
      </c>
      <c r="C349" s="1" t="str">
        <f t="shared" si="21"/>
        <v>May</v>
      </c>
      <c r="D349">
        <v>350.95001200000002</v>
      </c>
      <c r="E349">
        <v>356.42999300000002</v>
      </c>
      <c r="F349">
        <v>349.92999300000002</v>
      </c>
      <c r="G349">
        <v>354.26998900000001</v>
      </c>
      <c r="H349">
        <v>354.26998900000001</v>
      </c>
      <c r="I349">
        <f t="shared" si="22"/>
        <v>3.3199769999999944</v>
      </c>
      <c r="J349">
        <v>4026400</v>
      </c>
      <c r="K349">
        <v>-6.9518716577540093E-2</v>
      </c>
      <c r="L349">
        <v>-26</v>
      </c>
      <c r="M349">
        <f t="shared" si="23"/>
        <v>9.4599711824486111E-3</v>
      </c>
      <c r="N349">
        <v>374</v>
      </c>
    </row>
    <row r="350" spans="1:14" x14ac:dyDescent="0.25">
      <c r="A350" s="1">
        <v>43607</v>
      </c>
      <c r="B350" s="1">
        <f t="shared" si="20"/>
        <v>2019</v>
      </c>
      <c r="C350" s="1" t="str">
        <f t="shared" si="21"/>
        <v>May</v>
      </c>
      <c r="D350">
        <v>358.01001000000002</v>
      </c>
      <c r="E350">
        <v>370.459991</v>
      </c>
      <c r="F350">
        <v>357.29998799999998</v>
      </c>
      <c r="G350">
        <v>359.73001099999999</v>
      </c>
      <c r="H350">
        <v>359.73001099999999</v>
      </c>
      <c r="I350">
        <f t="shared" si="22"/>
        <v>1.7200009999999679</v>
      </c>
      <c r="J350">
        <v>6229400</v>
      </c>
      <c r="K350">
        <v>-7.2599531615925E-2</v>
      </c>
      <c r="L350">
        <v>-31</v>
      </c>
      <c r="M350">
        <f t="shared" si="23"/>
        <v>4.8043377334616088E-3</v>
      </c>
      <c r="N350">
        <v>427</v>
      </c>
    </row>
    <row r="351" spans="1:14" x14ac:dyDescent="0.25">
      <c r="A351" s="1">
        <v>43608</v>
      </c>
      <c r="B351" s="1">
        <f t="shared" si="20"/>
        <v>2019</v>
      </c>
      <c r="C351" s="1" t="str">
        <f t="shared" si="21"/>
        <v>May</v>
      </c>
      <c r="D351">
        <v>355.5</v>
      </c>
      <c r="E351">
        <v>357.42001299999998</v>
      </c>
      <c r="F351">
        <v>347.70001200000002</v>
      </c>
      <c r="G351">
        <v>352.209991</v>
      </c>
      <c r="H351">
        <v>352.209991</v>
      </c>
      <c r="I351">
        <f t="shared" si="22"/>
        <v>-3.2900089999999977</v>
      </c>
      <c r="J351">
        <v>5630400</v>
      </c>
      <c r="K351">
        <v>-9.6774193548387094E-2</v>
      </c>
      <c r="L351">
        <v>-33</v>
      </c>
      <c r="M351">
        <f t="shared" si="23"/>
        <v>-9.2545963431786161E-3</v>
      </c>
      <c r="N351">
        <v>341</v>
      </c>
    </row>
    <row r="352" spans="1:14" x14ac:dyDescent="0.25">
      <c r="A352" s="1">
        <v>43609</v>
      </c>
      <c r="B352" s="1">
        <f t="shared" si="20"/>
        <v>2019</v>
      </c>
      <c r="C352" s="1" t="str">
        <f t="shared" si="21"/>
        <v>May</v>
      </c>
      <c r="D352">
        <v>355.41000400000001</v>
      </c>
      <c r="E352">
        <v>359.44000199999999</v>
      </c>
      <c r="F352">
        <v>353.790009</v>
      </c>
      <c r="G352">
        <v>354.39001500000001</v>
      </c>
      <c r="H352">
        <v>354.39001500000001</v>
      </c>
      <c r="I352">
        <f t="shared" si="22"/>
        <v>-1.0199890000000096</v>
      </c>
      <c r="J352">
        <v>3831000</v>
      </c>
      <c r="K352">
        <v>-6.25E-2</v>
      </c>
      <c r="L352">
        <v>-17</v>
      </c>
      <c r="M352">
        <f t="shared" si="23"/>
        <v>-2.8698938930261783E-3</v>
      </c>
      <c r="N352">
        <v>272</v>
      </c>
    </row>
    <row r="353" spans="1:14" x14ac:dyDescent="0.25">
      <c r="A353" s="1">
        <v>43613</v>
      </c>
      <c r="B353" s="1">
        <f t="shared" si="20"/>
        <v>2019</v>
      </c>
      <c r="C353" s="1" t="str">
        <f t="shared" si="21"/>
        <v>May</v>
      </c>
      <c r="D353">
        <v>354.39001500000001</v>
      </c>
      <c r="E353">
        <v>361.20001200000002</v>
      </c>
      <c r="F353">
        <v>353.64999399999999</v>
      </c>
      <c r="G353">
        <v>355.05999800000001</v>
      </c>
      <c r="H353">
        <v>355.05999800000001</v>
      </c>
      <c r="I353">
        <f t="shared" si="22"/>
        <v>0.66998300000000199</v>
      </c>
      <c r="J353">
        <v>4717100</v>
      </c>
      <c r="K353">
        <v>-0.100877192982456</v>
      </c>
      <c r="L353">
        <v>-23</v>
      </c>
      <c r="M353">
        <f t="shared" si="23"/>
        <v>1.8905244833153721E-3</v>
      </c>
      <c r="N353">
        <v>228</v>
      </c>
    </row>
    <row r="354" spans="1:14" x14ac:dyDescent="0.25">
      <c r="A354" s="1">
        <v>43614</v>
      </c>
      <c r="B354" s="1">
        <f t="shared" si="20"/>
        <v>2019</v>
      </c>
      <c r="C354" s="1" t="str">
        <f t="shared" si="21"/>
        <v>May</v>
      </c>
      <c r="D354">
        <v>353.60000600000001</v>
      </c>
      <c r="E354">
        <v>353.85000600000001</v>
      </c>
      <c r="F354">
        <v>345.89999399999999</v>
      </c>
      <c r="G354">
        <v>349.19000199999999</v>
      </c>
      <c r="H354">
        <v>349.19000199999999</v>
      </c>
      <c r="I354">
        <f t="shared" si="22"/>
        <v>-4.4100040000000149</v>
      </c>
      <c r="J354">
        <v>5658900</v>
      </c>
      <c r="K354">
        <v>-8.3333333333333301E-2</v>
      </c>
      <c r="L354">
        <v>-24</v>
      </c>
      <c r="M354">
        <f t="shared" si="23"/>
        <v>-1.2471730557606423E-2</v>
      </c>
      <c r="N354">
        <v>288</v>
      </c>
    </row>
    <row r="355" spans="1:14" x14ac:dyDescent="0.25">
      <c r="A355" s="1">
        <v>43615</v>
      </c>
      <c r="B355" s="1">
        <f t="shared" si="20"/>
        <v>2019</v>
      </c>
      <c r="C355" s="1" t="str">
        <f t="shared" si="21"/>
        <v>May</v>
      </c>
      <c r="D355">
        <v>350.54998799999998</v>
      </c>
      <c r="E355">
        <v>354.209991</v>
      </c>
      <c r="F355">
        <v>348.29998799999998</v>
      </c>
      <c r="G355">
        <v>351.85000600000001</v>
      </c>
      <c r="H355">
        <v>351.85000600000001</v>
      </c>
      <c r="I355">
        <f t="shared" si="22"/>
        <v>1.3000180000000228</v>
      </c>
      <c r="J355">
        <v>4008000</v>
      </c>
      <c r="K355">
        <v>-7.0484581497797294E-2</v>
      </c>
      <c r="L355">
        <v>-16</v>
      </c>
      <c r="M355">
        <f t="shared" si="23"/>
        <v>3.708509612044325E-3</v>
      </c>
      <c r="N355">
        <v>227</v>
      </c>
    </row>
    <row r="356" spans="1:14" x14ac:dyDescent="0.25">
      <c r="A356" s="1">
        <v>43616</v>
      </c>
      <c r="B356" s="1">
        <f t="shared" si="20"/>
        <v>2019</v>
      </c>
      <c r="C356" s="1" t="str">
        <f t="shared" si="21"/>
        <v>May</v>
      </c>
      <c r="D356">
        <v>347.22000100000002</v>
      </c>
      <c r="E356">
        <v>349.33999599999999</v>
      </c>
      <c r="F356">
        <v>342.92001299999998</v>
      </c>
      <c r="G356">
        <v>343.27999899999998</v>
      </c>
      <c r="H356">
        <v>343.27999899999998</v>
      </c>
      <c r="I356">
        <f t="shared" si="22"/>
        <v>-3.9400020000000495</v>
      </c>
      <c r="J356">
        <v>5023400</v>
      </c>
      <c r="K356">
        <v>-9.1254752851711002E-2</v>
      </c>
      <c r="L356">
        <v>-24</v>
      </c>
      <c r="M356">
        <f t="shared" si="23"/>
        <v>-1.1347278349901419E-2</v>
      </c>
      <c r="N356">
        <v>263</v>
      </c>
    </row>
    <row r="357" spans="1:14" x14ac:dyDescent="0.25">
      <c r="A357" s="1">
        <v>43619</v>
      </c>
      <c r="B357" s="1">
        <f t="shared" si="20"/>
        <v>2019</v>
      </c>
      <c r="C357" s="1" t="str">
        <f t="shared" si="21"/>
        <v>Jun</v>
      </c>
      <c r="D357">
        <v>343.55999800000001</v>
      </c>
      <c r="E357">
        <v>347.66000400000001</v>
      </c>
      <c r="F357">
        <v>332.64999399999999</v>
      </c>
      <c r="G357">
        <v>336.63000499999998</v>
      </c>
      <c r="H357">
        <v>336.63000499999998</v>
      </c>
      <c r="I357">
        <f t="shared" si="22"/>
        <v>-6.9299930000000245</v>
      </c>
      <c r="J357">
        <v>7849600</v>
      </c>
      <c r="K357">
        <v>-0.129251700680272</v>
      </c>
      <c r="L357">
        <v>-38</v>
      </c>
      <c r="M357">
        <f t="shared" si="23"/>
        <v>-2.0171128886780423E-2</v>
      </c>
      <c r="N357">
        <v>294</v>
      </c>
    </row>
    <row r="358" spans="1:14" x14ac:dyDescent="0.25">
      <c r="A358" s="1">
        <v>43620</v>
      </c>
      <c r="B358" s="1">
        <f t="shared" si="20"/>
        <v>2019</v>
      </c>
      <c r="C358" s="1" t="str">
        <f t="shared" si="21"/>
        <v>Jun</v>
      </c>
      <c r="D358">
        <v>345</v>
      </c>
      <c r="E358">
        <v>353.60998499999999</v>
      </c>
      <c r="F358">
        <v>343.25</v>
      </c>
      <c r="G358">
        <v>353.39999399999999</v>
      </c>
      <c r="H358">
        <v>353.39999399999999</v>
      </c>
      <c r="I358">
        <f t="shared" si="22"/>
        <v>8.3999939999999924</v>
      </c>
      <c r="J358">
        <v>7891600</v>
      </c>
      <c r="K358">
        <v>-4.01002506265664E-2</v>
      </c>
      <c r="L358">
        <v>-16</v>
      </c>
      <c r="M358">
        <f t="shared" si="23"/>
        <v>2.4347808695652152E-2</v>
      </c>
      <c r="N358">
        <v>399</v>
      </c>
    </row>
    <row r="359" spans="1:14" x14ac:dyDescent="0.25">
      <c r="A359" s="1">
        <v>43621</v>
      </c>
      <c r="B359" s="1">
        <f t="shared" si="20"/>
        <v>2019</v>
      </c>
      <c r="C359" s="1" t="str">
        <f t="shared" si="21"/>
        <v>Jun</v>
      </c>
      <c r="D359">
        <v>354.38000499999998</v>
      </c>
      <c r="E359">
        <v>357.88000499999998</v>
      </c>
      <c r="F359">
        <v>348.709991</v>
      </c>
      <c r="G359">
        <v>355.73001099999999</v>
      </c>
      <c r="H359">
        <v>355.73001099999999</v>
      </c>
      <c r="I359">
        <f t="shared" si="22"/>
        <v>1.3500060000000076</v>
      </c>
      <c r="J359">
        <v>5020100</v>
      </c>
      <c r="K359">
        <v>-7.1216617210682495E-2</v>
      </c>
      <c r="L359">
        <v>-24</v>
      </c>
      <c r="M359">
        <f t="shared" si="23"/>
        <v>3.8094869376166063E-3</v>
      </c>
      <c r="N359">
        <v>337</v>
      </c>
    </row>
    <row r="360" spans="1:14" x14ac:dyDescent="0.25">
      <c r="A360" s="1">
        <v>43622</v>
      </c>
      <c r="B360" s="1">
        <f t="shared" si="20"/>
        <v>2019</v>
      </c>
      <c r="C360" s="1" t="str">
        <f t="shared" si="21"/>
        <v>Jun</v>
      </c>
      <c r="D360">
        <v>354.83999599999999</v>
      </c>
      <c r="E360">
        <v>358.209991</v>
      </c>
      <c r="F360">
        <v>352.08999599999999</v>
      </c>
      <c r="G360">
        <v>357.13000499999998</v>
      </c>
      <c r="H360">
        <v>357.13000499999998</v>
      </c>
      <c r="I360">
        <f t="shared" si="22"/>
        <v>2.2900089999999977</v>
      </c>
      <c r="J360">
        <v>3710000</v>
      </c>
      <c r="K360">
        <v>-8.4942084942084897E-2</v>
      </c>
      <c r="L360">
        <v>-22</v>
      </c>
      <c r="M360">
        <f t="shared" si="23"/>
        <v>6.4536383322470721E-3</v>
      </c>
      <c r="N360">
        <v>259</v>
      </c>
    </row>
    <row r="361" spans="1:14" x14ac:dyDescent="0.25">
      <c r="A361" s="1">
        <v>43623</v>
      </c>
      <c r="B361" s="1">
        <f t="shared" si="20"/>
        <v>2019</v>
      </c>
      <c r="C361" s="1" t="str">
        <f t="shared" si="21"/>
        <v>Jun</v>
      </c>
      <c r="D361">
        <v>357.39001500000001</v>
      </c>
      <c r="E361">
        <v>365.14999399999999</v>
      </c>
      <c r="F361">
        <v>355.69000199999999</v>
      </c>
      <c r="G361">
        <v>360.86999500000002</v>
      </c>
      <c r="H361">
        <v>360.86999500000002</v>
      </c>
      <c r="I361">
        <f t="shared" si="22"/>
        <v>3.4799800000000118</v>
      </c>
      <c r="J361">
        <v>4777300</v>
      </c>
      <c r="K361">
        <v>-2.6515151515151499E-2</v>
      </c>
      <c r="L361">
        <v>-7</v>
      </c>
      <c r="M361">
        <f t="shared" si="23"/>
        <v>9.7372054448695549E-3</v>
      </c>
      <c r="N361">
        <v>264</v>
      </c>
    </row>
    <row r="362" spans="1:14" x14ac:dyDescent="0.25">
      <c r="A362" s="1">
        <v>43626</v>
      </c>
      <c r="B362" s="1">
        <f t="shared" si="20"/>
        <v>2019</v>
      </c>
      <c r="C362" s="1" t="str">
        <f t="shared" si="21"/>
        <v>Jun</v>
      </c>
      <c r="D362">
        <v>363.64999399999999</v>
      </c>
      <c r="E362">
        <v>367.10000600000001</v>
      </c>
      <c r="F362">
        <v>349.290009</v>
      </c>
      <c r="G362">
        <v>352.01001000000002</v>
      </c>
      <c r="H362">
        <v>352.01001000000002</v>
      </c>
      <c r="I362">
        <f t="shared" si="22"/>
        <v>-11.63998399999997</v>
      </c>
      <c r="J362">
        <v>7810300</v>
      </c>
      <c r="K362">
        <v>-0.11267605633802801</v>
      </c>
      <c r="L362">
        <v>-40</v>
      </c>
      <c r="M362">
        <f t="shared" si="23"/>
        <v>-3.2008756199786902E-2</v>
      </c>
      <c r="N362">
        <v>355</v>
      </c>
    </row>
    <row r="363" spans="1:14" x14ac:dyDescent="0.25">
      <c r="A363" s="1">
        <v>43627</v>
      </c>
      <c r="B363" s="1">
        <f t="shared" si="20"/>
        <v>2019</v>
      </c>
      <c r="C363" s="1" t="str">
        <f t="shared" si="21"/>
        <v>Jun</v>
      </c>
      <c r="D363">
        <v>355</v>
      </c>
      <c r="E363">
        <v>357.57998700000002</v>
      </c>
      <c r="F363">
        <v>348.5</v>
      </c>
      <c r="G363">
        <v>351.26998900000001</v>
      </c>
      <c r="H363">
        <v>351.26998900000001</v>
      </c>
      <c r="I363">
        <f t="shared" si="22"/>
        <v>-3.7300109999999904</v>
      </c>
      <c r="J363">
        <v>5396700</v>
      </c>
      <c r="K363">
        <v>-4.7619047619047603E-2</v>
      </c>
      <c r="L363">
        <v>-15</v>
      </c>
      <c r="M363">
        <f t="shared" si="23"/>
        <v>-1.0507073239436593E-2</v>
      </c>
      <c r="N363">
        <v>315</v>
      </c>
    </row>
    <row r="364" spans="1:14" x14ac:dyDescent="0.25">
      <c r="A364" s="1">
        <v>43628</v>
      </c>
      <c r="B364" s="1">
        <f t="shared" si="20"/>
        <v>2019</v>
      </c>
      <c r="C364" s="1" t="str">
        <f t="shared" si="21"/>
        <v>Jun</v>
      </c>
      <c r="D364">
        <v>351.82000699999998</v>
      </c>
      <c r="E364">
        <v>353.60998499999999</v>
      </c>
      <c r="F364">
        <v>343.23001099999999</v>
      </c>
      <c r="G364">
        <v>345.55999800000001</v>
      </c>
      <c r="H364">
        <v>345.55999800000001</v>
      </c>
      <c r="I364">
        <f t="shared" si="22"/>
        <v>-6.2600089999999682</v>
      </c>
      <c r="J364">
        <v>4584700</v>
      </c>
      <c r="K364">
        <v>-9.0301003344481601E-2</v>
      </c>
      <c r="L364">
        <v>-27</v>
      </c>
      <c r="M364">
        <f t="shared" si="23"/>
        <v>-1.7793214926517718E-2</v>
      </c>
      <c r="N364">
        <v>299</v>
      </c>
    </row>
    <row r="365" spans="1:14" x14ac:dyDescent="0.25">
      <c r="A365" s="1">
        <v>43629</v>
      </c>
      <c r="B365" s="1">
        <f t="shared" si="20"/>
        <v>2019</v>
      </c>
      <c r="C365" s="1" t="str">
        <f t="shared" si="21"/>
        <v>Jun</v>
      </c>
      <c r="D365">
        <v>347.23001099999999</v>
      </c>
      <c r="E365">
        <v>348.5</v>
      </c>
      <c r="F365">
        <v>339.25</v>
      </c>
      <c r="G365">
        <v>343.42999300000002</v>
      </c>
      <c r="H365">
        <v>343.42999300000002</v>
      </c>
      <c r="I365">
        <f t="shared" si="22"/>
        <v>-3.8000179999999659</v>
      </c>
      <c r="J365">
        <v>6209300</v>
      </c>
      <c r="K365">
        <v>-9.9502487562189004E-2</v>
      </c>
      <c r="L365">
        <v>-40</v>
      </c>
      <c r="M365">
        <f t="shared" si="23"/>
        <v>-1.0943806352037832E-2</v>
      </c>
      <c r="N365">
        <v>402</v>
      </c>
    </row>
    <row r="366" spans="1:14" x14ac:dyDescent="0.25">
      <c r="A366" s="1">
        <v>43630</v>
      </c>
      <c r="B366" s="1">
        <f t="shared" si="20"/>
        <v>2019</v>
      </c>
      <c r="C366" s="1" t="str">
        <f t="shared" si="21"/>
        <v>Jun</v>
      </c>
      <c r="D366">
        <v>341.63000499999998</v>
      </c>
      <c r="E366">
        <v>343.39999399999999</v>
      </c>
      <c r="F366">
        <v>336.16000400000001</v>
      </c>
      <c r="G366">
        <v>339.73001099999999</v>
      </c>
      <c r="H366">
        <v>339.73001099999999</v>
      </c>
      <c r="I366">
        <f t="shared" si="22"/>
        <v>-1.8999939999999924</v>
      </c>
      <c r="J366">
        <v>5019000</v>
      </c>
      <c r="K366">
        <v>-8.5872576177285304E-2</v>
      </c>
      <c r="L366">
        <v>-31</v>
      </c>
      <c r="M366">
        <f t="shared" si="23"/>
        <v>-5.5615548171771166E-3</v>
      </c>
      <c r="N366">
        <v>361</v>
      </c>
    </row>
    <row r="367" spans="1:14" x14ac:dyDescent="0.25">
      <c r="A367" s="1">
        <v>43633</v>
      </c>
      <c r="B367" s="1">
        <f t="shared" si="20"/>
        <v>2019</v>
      </c>
      <c r="C367" s="1" t="str">
        <f t="shared" si="21"/>
        <v>Jun</v>
      </c>
      <c r="D367">
        <v>342.69000199999999</v>
      </c>
      <c r="E367">
        <v>351.76998900000001</v>
      </c>
      <c r="F367">
        <v>342.05999800000001</v>
      </c>
      <c r="G367">
        <v>350.61999500000002</v>
      </c>
      <c r="H367">
        <v>350.61999500000002</v>
      </c>
      <c r="I367">
        <f t="shared" si="22"/>
        <v>7.9299930000000245</v>
      </c>
      <c r="J367">
        <v>5358200</v>
      </c>
      <c r="K367">
        <v>-2.1021021021020998E-2</v>
      </c>
      <c r="L367">
        <v>-7</v>
      </c>
      <c r="M367">
        <f t="shared" si="23"/>
        <v>2.3140427073212438E-2</v>
      </c>
      <c r="N367">
        <v>333</v>
      </c>
    </row>
    <row r="368" spans="1:14" x14ac:dyDescent="0.25">
      <c r="A368" s="1">
        <v>43634</v>
      </c>
      <c r="B368" s="1">
        <f t="shared" si="20"/>
        <v>2019</v>
      </c>
      <c r="C368" s="1" t="str">
        <f t="shared" si="21"/>
        <v>Jun</v>
      </c>
      <c r="D368">
        <v>355.57000699999998</v>
      </c>
      <c r="E368">
        <v>361.5</v>
      </c>
      <c r="F368">
        <v>353.75</v>
      </c>
      <c r="G368">
        <v>357.11999500000002</v>
      </c>
      <c r="H368">
        <v>357.11999500000002</v>
      </c>
      <c r="I368">
        <f t="shared" si="22"/>
        <v>1.5499880000000417</v>
      </c>
      <c r="J368">
        <v>5428500</v>
      </c>
      <c r="K368">
        <v>-6.8965517241379296E-2</v>
      </c>
      <c r="L368">
        <v>-20</v>
      </c>
      <c r="M368">
        <f t="shared" si="23"/>
        <v>4.3591640731386033E-3</v>
      </c>
      <c r="N368">
        <v>290</v>
      </c>
    </row>
    <row r="369" spans="1:14" x14ac:dyDescent="0.25">
      <c r="A369" s="1">
        <v>43635</v>
      </c>
      <c r="B369" s="1">
        <f t="shared" si="20"/>
        <v>2019</v>
      </c>
      <c r="C369" s="1" t="str">
        <f t="shared" si="21"/>
        <v>Jun</v>
      </c>
      <c r="D369">
        <v>361.72000100000002</v>
      </c>
      <c r="E369">
        <v>364.73998999999998</v>
      </c>
      <c r="F369">
        <v>356.11999500000002</v>
      </c>
      <c r="G369">
        <v>363.51998900000001</v>
      </c>
      <c r="H369">
        <v>363.51998900000001</v>
      </c>
      <c r="I369">
        <f t="shared" si="22"/>
        <v>1.7999879999999848</v>
      </c>
      <c r="J369">
        <v>5667200</v>
      </c>
      <c r="K369">
        <v>-9.4955489614243299E-2</v>
      </c>
      <c r="L369">
        <v>-32</v>
      </c>
      <c r="M369">
        <f t="shared" si="23"/>
        <v>4.9761915156026574E-3</v>
      </c>
      <c r="N369">
        <v>337</v>
      </c>
    </row>
    <row r="370" spans="1:14" x14ac:dyDescent="0.25">
      <c r="A370" s="1">
        <v>43636</v>
      </c>
      <c r="B370" s="1">
        <f t="shared" si="20"/>
        <v>2019</v>
      </c>
      <c r="C370" s="1" t="str">
        <f t="shared" si="21"/>
        <v>Jun</v>
      </c>
      <c r="D370">
        <v>365.91000400000001</v>
      </c>
      <c r="E370">
        <v>370.11999500000002</v>
      </c>
      <c r="F370">
        <v>361.22000100000002</v>
      </c>
      <c r="G370">
        <v>365.209991</v>
      </c>
      <c r="H370">
        <v>365.209991</v>
      </c>
      <c r="I370">
        <f t="shared" si="22"/>
        <v>-0.70001300000001265</v>
      </c>
      <c r="J370">
        <v>5899500</v>
      </c>
      <c r="K370">
        <v>-2.8776978417266098E-2</v>
      </c>
      <c r="L370">
        <v>-8</v>
      </c>
      <c r="M370">
        <f t="shared" si="23"/>
        <v>-1.9130742323186457E-3</v>
      </c>
      <c r="N370">
        <v>278</v>
      </c>
    </row>
    <row r="371" spans="1:14" x14ac:dyDescent="0.25">
      <c r="A371" s="1">
        <v>43637</v>
      </c>
      <c r="B371" s="1">
        <f t="shared" si="20"/>
        <v>2019</v>
      </c>
      <c r="C371" s="1" t="str">
        <f t="shared" si="21"/>
        <v>Jun</v>
      </c>
      <c r="D371">
        <v>365</v>
      </c>
      <c r="E371">
        <v>371.45001200000002</v>
      </c>
      <c r="F371">
        <v>365</v>
      </c>
      <c r="G371">
        <v>369.209991</v>
      </c>
      <c r="H371">
        <v>369.209991</v>
      </c>
      <c r="I371">
        <f t="shared" si="22"/>
        <v>4.2099910000000023</v>
      </c>
      <c r="J371">
        <v>7448400</v>
      </c>
      <c r="K371">
        <v>-0.107142857142857</v>
      </c>
      <c r="L371">
        <v>-30</v>
      </c>
      <c r="M371">
        <f t="shared" si="23"/>
        <v>1.1534221917808226E-2</v>
      </c>
      <c r="N371">
        <v>280</v>
      </c>
    </row>
    <row r="372" spans="1:14" x14ac:dyDescent="0.25">
      <c r="A372" s="1">
        <v>43640</v>
      </c>
      <c r="B372" s="1">
        <f t="shared" si="20"/>
        <v>2019</v>
      </c>
      <c r="C372" s="1" t="str">
        <f t="shared" si="21"/>
        <v>Jun</v>
      </c>
      <c r="D372">
        <v>370.26998900000001</v>
      </c>
      <c r="E372">
        <v>375</v>
      </c>
      <c r="F372">
        <v>370.20001200000002</v>
      </c>
      <c r="G372">
        <v>371.040009</v>
      </c>
      <c r="H372">
        <v>371.040009</v>
      </c>
      <c r="I372">
        <f t="shared" si="22"/>
        <v>0.77001999999998816</v>
      </c>
      <c r="J372">
        <v>4830200</v>
      </c>
      <c r="K372">
        <v>-4.6692607003891003E-2</v>
      </c>
      <c r="L372">
        <v>-12</v>
      </c>
      <c r="M372">
        <f t="shared" si="23"/>
        <v>2.0796176381445491E-3</v>
      </c>
      <c r="N372">
        <v>257</v>
      </c>
    </row>
    <row r="373" spans="1:14" x14ac:dyDescent="0.25">
      <c r="A373" s="1">
        <v>43641</v>
      </c>
      <c r="B373" s="1">
        <f t="shared" si="20"/>
        <v>2019</v>
      </c>
      <c r="C373" s="1" t="str">
        <f t="shared" si="21"/>
        <v>Jun</v>
      </c>
      <c r="D373">
        <v>370.75</v>
      </c>
      <c r="E373">
        <v>371</v>
      </c>
      <c r="F373">
        <v>358.290009</v>
      </c>
      <c r="G373">
        <v>360.29998799999998</v>
      </c>
      <c r="H373">
        <v>360.29998799999998</v>
      </c>
      <c r="I373">
        <f t="shared" si="22"/>
        <v>-10.450012000000015</v>
      </c>
      <c r="J373">
        <v>5750400</v>
      </c>
      <c r="K373">
        <v>-5.9561128526645697E-2</v>
      </c>
      <c r="L373">
        <v>-19</v>
      </c>
      <c r="M373">
        <f t="shared" si="23"/>
        <v>-2.8186141604855063E-2</v>
      </c>
      <c r="N373">
        <v>319</v>
      </c>
    </row>
    <row r="374" spans="1:14" x14ac:dyDescent="0.25">
      <c r="A374" s="1">
        <v>43642</v>
      </c>
      <c r="B374" s="1">
        <f t="shared" si="20"/>
        <v>2019</v>
      </c>
      <c r="C374" s="1" t="str">
        <f t="shared" si="21"/>
        <v>Jun</v>
      </c>
      <c r="D374">
        <v>361.60000600000001</v>
      </c>
      <c r="E374">
        <v>366.790009</v>
      </c>
      <c r="F374">
        <v>361.60000600000001</v>
      </c>
      <c r="G374">
        <v>362.20001200000002</v>
      </c>
      <c r="H374">
        <v>362.20001200000002</v>
      </c>
      <c r="I374">
        <f t="shared" si="22"/>
        <v>0.60000600000000759</v>
      </c>
      <c r="J374">
        <v>3669700</v>
      </c>
      <c r="K374">
        <v>-0.12237762237762199</v>
      </c>
      <c r="L374">
        <v>-35</v>
      </c>
      <c r="M374">
        <f t="shared" si="23"/>
        <v>1.6593086007858295E-3</v>
      </c>
      <c r="N374">
        <v>286</v>
      </c>
    </row>
    <row r="375" spans="1:14" x14ac:dyDescent="0.25">
      <c r="A375" s="1">
        <v>43643</v>
      </c>
      <c r="B375" s="1">
        <f t="shared" si="20"/>
        <v>2019</v>
      </c>
      <c r="C375" s="1" t="str">
        <f t="shared" si="21"/>
        <v>Jun</v>
      </c>
      <c r="D375">
        <v>363.20001200000002</v>
      </c>
      <c r="E375">
        <v>370.85000600000001</v>
      </c>
      <c r="F375">
        <v>363.20001200000002</v>
      </c>
      <c r="G375">
        <v>370.01998900000001</v>
      </c>
      <c r="H375">
        <v>370.01998900000001</v>
      </c>
      <c r="I375">
        <f t="shared" si="22"/>
        <v>6.8199769999999944</v>
      </c>
      <c r="J375">
        <v>4138600</v>
      </c>
      <c r="K375">
        <v>-7.5409836065573693E-2</v>
      </c>
      <c r="L375">
        <v>-23</v>
      </c>
      <c r="M375">
        <f t="shared" si="23"/>
        <v>1.8777469093255412E-2</v>
      </c>
      <c r="N375">
        <v>305</v>
      </c>
    </row>
    <row r="376" spans="1:14" x14ac:dyDescent="0.25">
      <c r="A376" s="1">
        <v>43644</v>
      </c>
      <c r="B376" s="1">
        <f t="shared" si="20"/>
        <v>2019</v>
      </c>
      <c r="C376" s="1" t="str">
        <f t="shared" si="21"/>
        <v>Jun</v>
      </c>
      <c r="D376">
        <v>370.26001000000002</v>
      </c>
      <c r="E376">
        <v>371.540009</v>
      </c>
      <c r="F376">
        <v>364.86999500000002</v>
      </c>
      <c r="G376">
        <v>367.32000699999998</v>
      </c>
      <c r="H376">
        <v>367.32000699999998</v>
      </c>
      <c r="I376">
        <f t="shared" si="22"/>
        <v>-2.940003000000047</v>
      </c>
      <c r="J376">
        <v>4592700</v>
      </c>
      <c r="K376">
        <v>-9.4827586206896505E-2</v>
      </c>
      <c r="L376">
        <v>-22</v>
      </c>
      <c r="M376">
        <f t="shared" si="23"/>
        <v>-7.9403741170969207E-3</v>
      </c>
      <c r="N376">
        <v>232</v>
      </c>
    </row>
    <row r="377" spans="1:14" x14ac:dyDescent="0.25">
      <c r="A377" s="1">
        <v>43647</v>
      </c>
      <c r="B377" s="1">
        <f t="shared" si="20"/>
        <v>2019</v>
      </c>
      <c r="C377" s="1" t="str">
        <f t="shared" si="21"/>
        <v>Jul</v>
      </c>
      <c r="D377">
        <v>373.5</v>
      </c>
      <c r="E377">
        <v>376.66000400000001</v>
      </c>
      <c r="F377">
        <v>372</v>
      </c>
      <c r="G377">
        <v>374.60000600000001</v>
      </c>
      <c r="H377">
        <v>374.60000600000001</v>
      </c>
      <c r="I377">
        <f t="shared" si="22"/>
        <v>1.1000060000000076</v>
      </c>
      <c r="J377">
        <v>4992600</v>
      </c>
      <c r="K377">
        <v>-4.0983606557376998E-2</v>
      </c>
      <c r="L377">
        <v>-10</v>
      </c>
      <c r="M377">
        <f t="shared" si="23"/>
        <v>2.9451298527443308E-3</v>
      </c>
      <c r="N377">
        <v>244</v>
      </c>
    </row>
    <row r="378" spans="1:14" x14ac:dyDescent="0.25">
      <c r="A378" s="1">
        <v>43648</v>
      </c>
      <c r="B378" s="1">
        <f t="shared" si="20"/>
        <v>2019</v>
      </c>
      <c r="C378" s="1" t="str">
        <f t="shared" si="21"/>
        <v>Jul</v>
      </c>
      <c r="D378">
        <v>374.89001500000001</v>
      </c>
      <c r="E378">
        <v>376</v>
      </c>
      <c r="F378">
        <v>370.30999800000001</v>
      </c>
      <c r="G378">
        <v>375.42999300000002</v>
      </c>
      <c r="H378">
        <v>375.42999300000002</v>
      </c>
      <c r="I378">
        <f t="shared" si="22"/>
        <v>0.53997800000001916</v>
      </c>
      <c r="J378">
        <v>3625000</v>
      </c>
      <c r="K378">
        <v>-8.66141732283464E-2</v>
      </c>
      <c r="L378">
        <v>-22</v>
      </c>
      <c r="M378">
        <f t="shared" si="23"/>
        <v>1.4403637824283455E-3</v>
      </c>
      <c r="N378">
        <v>254</v>
      </c>
    </row>
    <row r="379" spans="1:14" x14ac:dyDescent="0.25">
      <c r="A379" s="1">
        <v>43649</v>
      </c>
      <c r="B379" s="1">
        <f t="shared" si="20"/>
        <v>2019</v>
      </c>
      <c r="C379" s="1" t="str">
        <f t="shared" si="21"/>
        <v>Jul</v>
      </c>
      <c r="D379">
        <v>376.69000199999999</v>
      </c>
      <c r="E379">
        <v>381.98998999999998</v>
      </c>
      <c r="F379">
        <v>375.83999599999999</v>
      </c>
      <c r="G379">
        <v>381.72000100000002</v>
      </c>
      <c r="H379">
        <v>381.72000100000002</v>
      </c>
      <c r="I379">
        <f t="shared" si="22"/>
        <v>5.0299990000000321</v>
      </c>
      <c r="J379">
        <v>3799000</v>
      </c>
      <c r="K379">
        <v>-3.8461538461538401E-2</v>
      </c>
      <c r="L379">
        <v>-11</v>
      </c>
      <c r="M379">
        <f t="shared" si="23"/>
        <v>1.3353152388684933E-2</v>
      </c>
      <c r="N379">
        <v>286</v>
      </c>
    </row>
    <row r="380" spans="1:14" x14ac:dyDescent="0.25">
      <c r="A380" s="1">
        <v>43651</v>
      </c>
      <c r="B380" s="1">
        <f t="shared" si="20"/>
        <v>2019</v>
      </c>
      <c r="C380" s="1" t="str">
        <f t="shared" si="21"/>
        <v>Jul</v>
      </c>
      <c r="D380">
        <v>378.290009</v>
      </c>
      <c r="E380">
        <v>381.39999399999999</v>
      </c>
      <c r="F380">
        <v>375.55999800000001</v>
      </c>
      <c r="G380">
        <v>380.54998799999998</v>
      </c>
      <c r="H380">
        <v>380.54998799999998</v>
      </c>
      <c r="I380">
        <f t="shared" si="22"/>
        <v>2.2599789999999871</v>
      </c>
      <c r="J380">
        <v>3732200</v>
      </c>
      <c r="K380">
        <v>-9.0047393364928896E-2</v>
      </c>
      <c r="L380">
        <v>-19</v>
      </c>
      <c r="M380">
        <f t="shared" si="23"/>
        <v>5.9741969024616429E-3</v>
      </c>
      <c r="N380">
        <v>211</v>
      </c>
    </row>
    <row r="381" spans="1:14" x14ac:dyDescent="0.25">
      <c r="A381" s="1">
        <v>43654</v>
      </c>
      <c r="B381" s="1">
        <f t="shared" si="20"/>
        <v>2019</v>
      </c>
      <c r="C381" s="1" t="str">
        <f t="shared" si="21"/>
        <v>Jul</v>
      </c>
      <c r="D381">
        <v>378.19000199999999</v>
      </c>
      <c r="E381">
        <v>378.25</v>
      </c>
      <c r="F381">
        <v>375.35998499999999</v>
      </c>
      <c r="G381">
        <v>376.16000400000001</v>
      </c>
      <c r="H381">
        <v>376.16000400000001</v>
      </c>
      <c r="I381">
        <f t="shared" si="22"/>
        <v>-2.0299979999999778</v>
      </c>
      <c r="J381">
        <v>3113400</v>
      </c>
      <c r="K381">
        <v>-0.101626016260162</v>
      </c>
      <c r="L381">
        <v>-25</v>
      </c>
      <c r="M381">
        <f t="shared" si="23"/>
        <v>-5.3676670172787327E-3</v>
      </c>
      <c r="N381">
        <v>246</v>
      </c>
    </row>
    <row r="382" spans="1:14" x14ac:dyDescent="0.25">
      <c r="A382" s="1">
        <v>43655</v>
      </c>
      <c r="B382" s="1">
        <f t="shared" si="20"/>
        <v>2019</v>
      </c>
      <c r="C382" s="1" t="str">
        <f t="shared" si="21"/>
        <v>Jul</v>
      </c>
      <c r="D382">
        <v>379.05999800000001</v>
      </c>
      <c r="E382">
        <v>384.76001000000002</v>
      </c>
      <c r="F382">
        <v>377.5</v>
      </c>
      <c r="G382">
        <v>379.92999300000002</v>
      </c>
      <c r="H382">
        <v>379.92999300000002</v>
      </c>
      <c r="I382">
        <f t="shared" si="22"/>
        <v>0.86999500000001717</v>
      </c>
      <c r="J382">
        <v>6932800</v>
      </c>
      <c r="K382">
        <v>-7.8671328671328603E-2</v>
      </c>
      <c r="L382">
        <v>-45</v>
      </c>
      <c r="M382">
        <f t="shared" si="23"/>
        <v>2.2951379849899573E-3</v>
      </c>
      <c r="N382">
        <v>572</v>
      </c>
    </row>
    <row r="383" spans="1:14" x14ac:dyDescent="0.25">
      <c r="A383" s="1">
        <v>43656</v>
      </c>
      <c r="B383" s="1">
        <f t="shared" si="20"/>
        <v>2019</v>
      </c>
      <c r="C383" s="1" t="str">
        <f t="shared" si="21"/>
        <v>Jul</v>
      </c>
      <c r="D383">
        <v>382.76998900000001</v>
      </c>
      <c r="E383">
        <v>384.33999599999999</v>
      </c>
      <c r="F383">
        <v>362.67999300000002</v>
      </c>
      <c r="G383">
        <v>381</v>
      </c>
      <c r="H383">
        <v>381</v>
      </c>
      <c r="I383">
        <f t="shared" si="22"/>
        <v>-1.7699890000000096</v>
      </c>
      <c r="J383">
        <v>5878800</v>
      </c>
      <c r="K383">
        <v>-0.15777777777777699</v>
      </c>
      <c r="L383">
        <v>-71</v>
      </c>
      <c r="M383">
        <f t="shared" si="23"/>
        <v>-4.6241582435032789E-3</v>
      </c>
      <c r="N383">
        <v>450</v>
      </c>
    </row>
    <row r="384" spans="1:14" x14ac:dyDescent="0.25">
      <c r="A384" s="1">
        <v>43657</v>
      </c>
      <c r="B384" s="1">
        <f t="shared" si="20"/>
        <v>2019</v>
      </c>
      <c r="C384" s="1" t="str">
        <f t="shared" si="21"/>
        <v>Jul</v>
      </c>
      <c r="D384">
        <v>381.10000600000001</v>
      </c>
      <c r="E384">
        <v>384.540009</v>
      </c>
      <c r="F384">
        <v>378.79998799999998</v>
      </c>
      <c r="G384">
        <v>379.5</v>
      </c>
      <c r="H384">
        <v>379.5</v>
      </c>
      <c r="I384">
        <f t="shared" si="22"/>
        <v>-1.6000060000000076</v>
      </c>
      <c r="J384">
        <v>4336300</v>
      </c>
      <c r="K384">
        <v>-6.9306930693069299E-2</v>
      </c>
      <c r="L384">
        <v>-21</v>
      </c>
      <c r="M384">
        <f t="shared" si="23"/>
        <v>-4.1983888082122141E-3</v>
      </c>
      <c r="N384">
        <v>303</v>
      </c>
    </row>
    <row r="385" spans="1:14" x14ac:dyDescent="0.25">
      <c r="A385" s="1">
        <v>43658</v>
      </c>
      <c r="B385" s="1">
        <f t="shared" si="20"/>
        <v>2019</v>
      </c>
      <c r="C385" s="1" t="str">
        <f t="shared" si="21"/>
        <v>Jul</v>
      </c>
      <c r="D385">
        <v>378.67999300000002</v>
      </c>
      <c r="E385">
        <v>379.73998999999998</v>
      </c>
      <c r="F385">
        <v>372.790009</v>
      </c>
      <c r="G385">
        <v>373.25</v>
      </c>
      <c r="H385">
        <v>373.25</v>
      </c>
      <c r="I385">
        <f t="shared" si="22"/>
        <v>-5.4299930000000245</v>
      </c>
      <c r="J385">
        <v>6636900</v>
      </c>
      <c r="K385">
        <v>-6.25E-2</v>
      </c>
      <c r="L385">
        <v>-22</v>
      </c>
      <c r="M385">
        <f t="shared" si="23"/>
        <v>-1.4339265607834804E-2</v>
      </c>
      <c r="N385">
        <v>352</v>
      </c>
    </row>
    <row r="386" spans="1:14" x14ac:dyDescent="0.25">
      <c r="A386" s="1">
        <v>43661</v>
      </c>
      <c r="B386" s="1">
        <f t="shared" ref="B386:B449" si="24">YEAR(A386)</f>
        <v>2019</v>
      </c>
      <c r="C386" s="1" t="str">
        <f t="shared" ref="C386:C449" si="25">TEXT(A386,"mmm")</f>
        <v>Jul</v>
      </c>
      <c r="D386">
        <v>372.94000199999999</v>
      </c>
      <c r="E386">
        <v>373.67999300000002</v>
      </c>
      <c r="F386">
        <v>362.29998799999998</v>
      </c>
      <c r="G386">
        <v>366.60000600000001</v>
      </c>
      <c r="H386">
        <v>366.60000600000001</v>
      </c>
      <c r="I386">
        <f t="shared" ref="I386:I449" si="26">G386-D386</f>
        <v>-6.3399959999999851</v>
      </c>
      <c r="J386">
        <v>7944700</v>
      </c>
      <c r="K386">
        <v>-7.5892857142857095E-2</v>
      </c>
      <c r="L386">
        <v>-34</v>
      </c>
      <c r="M386">
        <f t="shared" ref="M386:M449" si="27">(G386-D386)/D386</f>
        <v>-1.700004281117579E-2</v>
      </c>
      <c r="N386">
        <v>448</v>
      </c>
    </row>
    <row r="387" spans="1:14" x14ac:dyDescent="0.25">
      <c r="A387" s="1">
        <v>43662</v>
      </c>
      <c r="B387" s="1">
        <f t="shared" si="24"/>
        <v>2019</v>
      </c>
      <c r="C387" s="1" t="str">
        <f t="shared" si="25"/>
        <v>Jul</v>
      </c>
      <c r="D387">
        <v>370.08999599999999</v>
      </c>
      <c r="E387">
        <v>371.33999599999999</v>
      </c>
      <c r="F387">
        <v>364.92001299999998</v>
      </c>
      <c r="G387">
        <v>365.98998999999998</v>
      </c>
      <c r="H387">
        <v>365.98998999999998</v>
      </c>
      <c r="I387">
        <f t="shared" si="26"/>
        <v>-4.1000060000000076</v>
      </c>
      <c r="J387">
        <v>5863200</v>
      </c>
      <c r="K387">
        <v>-6.2656641604009994E-2</v>
      </c>
      <c r="L387">
        <v>-25</v>
      </c>
      <c r="M387">
        <f t="shared" si="27"/>
        <v>-1.1078402670468314E-2</v>
      </c>
      <c r="N387">
        <v>399</v>
      </c>
    </row>
    <row r="388" spans="1:14" x14ac:dyDescent="0.25">
      <c r="A388" s="1">
        <v>43663</v>
      </c>
      <c r="B388" s="1">
        <f t="shared" si="24"/>
        <v>2019</v>
      </c>
      <c r="C388" s="1" t="str">
        <f t="shared" si="25"/>
        <v>Jul</v>
      </c>
      <c r="D388">
        <v>366.25</v>
      </c>
      <c r="E388">
        <v>366.5</v>
      </c>
      <c r="F388">
        <v>361.75</v>
      </c>
      <c r="G388">
        <v>362.44000199999999</v>
      </c>
      <c r="H388">
        <v>362.44000199999999</v>
      </c>
      <c r="I388">
        <f t="shared" si="26"/>
        <v>-3.8099980000000073</v>
      </c>
      <c r="J388">
        <v>13639500</v>
      </c>
      <c r="K388">
        <v>-0.17253521126760499</v>
      </c>
      <c r="L388">
        <v>-343</v>
      </c>
      <c r="M388">
        <f t="shared" si="27"/>
        <v>-1.0402724914675789E-2</v>
      </c>
      <c r="N388">
        <v>1988</v>
      </c>
    </row>
    <row r="389" spans="1:14" x14ac:dyDescent="0.25">
      <c r="A389" s="1">
        <v>43664</v>
      </c>
      <c r="B389" s="1">
        <f t="shared" si="24"/>
        <v>2019</v>
      </c>
      <c r="C389" s="1" t="str">
        <f t="shared" si="25"/>
        <v>Jul</v>
      </c>
      <c r="D389">
        <v>323.76001000000002</v>
      </c>
      <c r="E389">
        <v>329.85000600000001</v>
      </c>
      <c r="F389">
        <v>320.29998799999998</v>
      </c>
      <c r="G389">
        <v>325.209991</v>
      </c>
      <c r="H389">
        <v>325.209991</v>
      </c>
      <c r="I389">
        <f t="shared" si="26"/>
        <v>1.4499809999999798</v>
      </c>
      <c r="J389">
        <v>31287100</v>
      </c>
      <c r="K389">
        <v>-0.163402350307778</v>
      </c>
      <c r="L389">
        <v>-292</v>
      </c>
      <c r="M389">
        <f t="shared" si="27"/>
        <v>4.4785673190459183E-3</v>
      </c>
      <c r="N389">
        <v>1787</v>
      </c>
    </row>
    <row r="390" spans="1:14" x14ac:dyDescent="0.25">
      <c r="A390" s="1">
        <v>43665</v>
      </c>
      <c r="B390" s="1">
        <f t="shared" si="24"/>
        <v>2019</v>
      </c>
      <c r="C390" s="1" t="str">
        <f t="shared" si="25"/>
        <v>Jul</v>
      </c>
      <c r="D390">
        <v>323.39999399999999</v>
      </c>
      <c r="E390">
        <v>325.85000600000001</v>
      </c>
      <c r="F390">
        <v>314.23001099999999</v>
      </c>
      <c r="G390">
        <v>315.10000600000001</v>
      </c>
      <c r="H390">
        <v>315.10000600000001</v>
      </c>
      <c r="I390">
        <f t="shared" si="26"/>
        <v>-8.2999879999999848</v>
      </c>
      <c r="J390">
        <v>16302500</v>
      </c>
      <c r="K390">
        <v>-0.18019480519480499</v>
      </c>
      <c r="L390">
        <v>-111</v>
      </c>
      <c r="M390">
        <f t="shared" si="27"/>
        <v>-2.5664774749501032E-2</v>
      </c>
      <c r="N390">
        <v>616</v>
      </c>
    </row>
    <row r="391" spans="1:14" x14ac:dyDescent="0.25">
      <c r="A391" s="1">
        <v>43668</v>
      </c>
      <c r="B391" s="1">
        <f t="shared" si="24"/>
        <v>2019</v>
      </c>
      <c r="C391" s="1" t="str">
        <f t="shared" si="25"/>
        <v>Jul</v>
      </c>
      <c r="D391">
        <v>312</v>
      </c>
      <c r="E391">
        <v>314.540009</v>
      </c>
      <c r="F391">
        <v>305.80999800000001</v>
      </c>
      <c r="G391">
        <v>310.61999500000002</v>
      </c>
      <c r="H391">
        <v>310.61999500000002</v>
      </c>
      <c r="I391">
        <f t="shared" si="26"/>
        <v>-1.3800049999999828</v>
      </c>
      <c r="J391">
        <v>17718000</v>
      </c>
      <c r="K391">
        <v>-8.66666666666666E-2</v>
      </c>
      <c r="L391">
        <v>-52</v>
      </c>
      <c r="M391">
        <f t="shared" si="27"/>
        <v>-4.4230929487178933E-3</v>
      </c>
      <c r="N391">
        <v>600</v>
      </c>
    </row>
    <row r="392" spans="1:14" x14ac:dyDescent="0.25">
      <c r="A392" s="1">
        <v>43669</v>
      </c>
      <c r="B392" s="1">
        <f t="shared" si="24"/>
        <v>2019</v>
      </c>
      <c r="C392" s="1" t="str">
        <f t="shared" si="25"/>
        <v>Jul</v>
      </c>
      <c r="D392">
        <v>311.44000199999999</v>
      </c>
      <c r="E392">
        <v>313.5</v>
      </c>
      <c r="F392">
        <v>306</v>
      </c>
      <c r="G392">
        <v>307.29998799999998</v>
      </c>
      <c r="H392">
        <v>307.29998799999998</v>
      </c>
      <c r="I392">
        <f t="shared" si="26"/>
        <v>-4.1400140000000079</v>
      </c>
      <c r="J392">
        <v>9171100</v>
      </c>
      <c r="K392">
        <v>-0.17647058823529399</v>
      </c>
      <c r="L392">
        <v>-81</v>
      </c>
      <c r="M392">
        <f t="shared" si="27"/>
        <v>-1.3293135028942133E-2</v>
      </c>
      <c r="N392">
        <v>459</v>
      </c>
    </row>
    <row r="393" spans="1:14" x14ac:dyDescent="0.25">
      <c r="A393" s="1">
        <v>43670</v>
      </c>
      <c r="B393" s="1">
        <f t="shared" si="24"/>
        <v>2019</v>
      </c>
      <c r="C393" s="1" t="str">
        <f t="shared" si="25"/>
        <v>Jul</v>
      </c>
      <c r="D393">
        <v>310.51001000000002</v>
      </c>
      <c r="E393">
        <v>319.98998999999998</v>
      </c>
      <c r="F393">
        <v>307.25</v>
      </c>
      <c r="G393">
        <v>317.94000199999999</v>
      </c>
      <c r="H393">
        <v>317.94000199999999</v>
      </c>
      <c r="I393">
        <f t="shared" si="26"/>
        <v>7.4299919999999702</v>
      </c>
      <c r="J393">
        <v>11961800</v>
      </c>
      <c r="K393">
        <v>-5.96330275229357E-2</v>
      </c>
      <c r="L393">
        <v>-39</v>
      </c>
      <c r="M393">
        <f t="shared" si="27"/>
        <v>2.392834936303654E-2</v>
      </c>
      <c r="N393">
        <v>654</v>
      </c>
    </row>
    <row r="394" spans="1:14" x14ac:dyDescent="0.25">
      <c r="A394" s="1">
        <v>43671</v>
      </c>
      <c r="B394" s="1">
        <f t="shared" si="24"/>
        <v>2019</v>
      </c>
      <c r="C394" s="1" t="str">
        <f t="shared" si="25"/>
        <v>Jul</v>
      </c>
      <c r="D394">
        <v>318.85998499999999</v>
      </c>
      <c r="E394">
        <v>327.69000199999999</v>
      </c>
      <c r="F394">
        <v>316.29998799999998</v>
      </c>
      <c r="G394">
        <v>326.459991</v>
      </c>
      <c r="H394">
        <v>326.459991</v>
      </c>
      <c r="I394">
        <f t="shared" si="26"/>
        <v>7.6000060000000076</v>
      </c>
      <c r="J394">
        <v>10798500</v>
      </c>
      <c r="K394">
        <v>-9.9667774086378003E-3</v>
      </c>
      <c r="L394">
        <v>-6</v>
      </c>
      <c r="M394">
        <f t="shared" si="27"/>
        <v>2.3834931811842139E-2</v>
      </c>
      <c r="N394">
        <v>602</v>
      </c>
    </row>
    <row r="395" spans="1:14" x14ac:dyDescent="0.25">
      <c r="A395" s="1">
        <v>43672</v>
      </c>
      <c r="B395" s="1">
        <f t="shared" si="24"/>
        <v>2019</v>
      </c>
      <c r="C395" s="1" t="str">
        <f t="shared" si="25"/>
        <v>Jul</v>
      </c>
      <c r="D395">
        <v>328.790009</v>
      </c>
      <c r="E395">
        <v>336</v>
      </c>
      <c r="F395">
        <v>327.5</v>
      </c>
      <c r="G395">
        <v>335.77999899999998</v>
      </c>
      <c r="H395">
        <v>335.77999899999998</v>
      </c>
      <c r="I395">
        <f t="shared" si="26"/>
        <v>6.9899899999999775</v>
      </c>
      <c r="J395">
        <v>10847500</v>
      </c>
      <c r="K395">
        <v>-3.55555555555555E-2</v>
      </c>
      <c r="L395">
        <v>-16</v>
      </c>
      <c r="M395">
        <f t="shared" si="27"/>
        <v>2.1259739677795313E-2</v>
      </c>
      <c r="N395">
        <v>450</v>
      </c>
    </row>
    <row r="396" spans="1:14" x14ac:dyDescent="0.25">
      <c r="A396" s="1">
        <v>43675</v>
      </c>
      <c r="B396" s="1">
        <f t="shared" si="24"/>
        <v>2019</v>
      </c>
      <c r="C396" s="1" t="str">
        <f t="shared" si="25"/>
        <v>Jul</v>
      </c>
      <c r="D396">
        <v>335.98001099999999</v>
      </c>
      <c r="E396">
        <v>336.39999399999999</v>
      </c>
      <c r="F396">
        <v>328.76998900000001</v>
      </c>
      <c r="G396">
        <v>332.70001200000002</v>
      </c>
      <c r="H396">
        <v>332.70001200000002</v>
      </c>
      <c r="I396">
        <f t="shared" si="26"/>
        <v>-3.2799989999999752</v>
      </c>
      <c r="J396">
        <v>5782800</v>
      </c>
      <c r="K396">
        <v>-0.12250712250712199</v>
      </c>
      <c r="L396">
        <v>-43</v>
      </c>
      <c r="M396">
        <f t="shared" si="27"/>
        <v>-9.7624825662618823E-3</v>
      </c>
      <c r="N396">
        <v>351</v>
      </c>
    </row>
    <row r="397" spans="1:14" x14ac:dyDescent="0.25">
      <c r="A397" s="1">
        <v>43676</v>
      </c>
      <c r="B397" s="1">
        <f t="shared" si="24"/>
        <v>2019</v>
      </c>
      <c r="C397" s="1" t="str">
        <f t="shared" si="25"/>
        <v>Jul</v>
      </c>
      <c r="D397">
        <v>329.20001200000002</v>
      </c>
      <c r="E397">
        <v>329.64999399999999</v>
      </c>
      <c r="F397">
        <v>323.23001099999999</v>
      </c>
      <c r="G397">
        <v>325.92999300000002</v>
      </c>
      <c r="H397">
        <v>325.92999300000002</v>
      </c>
      <c r="I397">
        <f t="shared" si="26"/>
        <v>-3.2700189999999907</v>
      </c>
      <c r="J397">
        <v>6029300</v>
      </c>
      <c r="K397">
        <v>-0.14647887323943601</v>
      </c>
      <c r="L397">
        <v>-52</v>
      </c>
      <c r="M397">
        <f t="shared" si="27"/>
        <v>-9.9332286780110766E-3</v>
      </c>
      <c r="N397">
        <v>355</v>
      </c>
    </row>
    <row r="398" spans="1:14" x14ac:dyDescent="0.25">
      <c r="A398" s="1">
        <v>43677</v>
      </c>
      <c r="B398" s="1">
        <f t="shared" si="24"/>
        <v>2019</v>
      </c>
      <c r="C398" s="1" t="str">
        <f t="shared" si="25"/>
        <v>Jul</v>
      </c>
      <c r="D398">
        <v>325.16000400000001</v>
      </c>
      <c r="E398">
        <v>331.76998900000001</v>
      </c>
      <c r="F398">
        <v>318.52999899999998</v>
      </c>
      <c r="G398">
        <v>322.98998999999998</v>
      </c>
      <c r="H398">
        <v>322.98998999999998</v>
      </c>
      <c r="I398">
        <f t="shared" si="26"/>
        <v>-2.1700140000000374</v>
      </c>
      <c r="J398">
        <v>6259500</v>
      </c>
      <c r="K398">
        <v>-0.13505747126436701</v>
      </c>
      <c r="L398">
        <v>-47</v>
      </c>
      <c r="M398">
        <f t="shared" si="27"/>
        <v>-6.6736805674293123E-3</v>
      </c>
      <c r="N398">
        <v>348</v>
      </c>
    </row>
    <row r="399" spans="1:14" x14ac:dyDescent="0.25">
      <c r="A399" s="1">
        <v>43678</v>
      </c>
      <c r="B399" s="1">
        <f t="shared" si="24"/>
        <v>2019</v>
      </c>
      <c r="C399" s="1" t="str">
        <f t="shared" si="25"/>
        <v>Aug</v>
      </c>
      <c r="D399">
        <v>324.25</v>
      </c>
      <c r="E399">
        <v>328.57998700000002</v>
      </c>
      <c r="F399">
        <v>318.73998999999998</v>
      </c>
      <c r="G399">
        <v>319.5</v>
      </c>
      <c r="H399">
        <v>319.5</v>
      </c>
      <c r="I399">
        <f t="shared" si="26"/>
        <v>-4.75</v>
      </c>
      <c r="J399">
        <v>6563200</v>
      </c>
      <c r="K399">
        <v>-0.116104868913857</v>
      </c>
      <c r="L399">
        <v>-31</v>
      </c>
      <c r="M399">
        <f t="shared" si="27"/>
        <v>-1.4649190439475714E-2</v>
      </c>
      <c r="N399">
        <v>267</v>
      </c>
    </row>
    <row r="400" spans="1:14" x14ac:dyDescent="0.25">
      <c r="A400" s="1">
        <v>43679</v>
      </c>
      <c r="B400" s="1">
        <f t="shared" si="24"/>
        <v>2019</v>
      </c>
      <c r="C400" s="1" t="str">
        <f t="shared" si="25"/>
        <v>Aug</v>
      </c>
      <c r="D400">
        <v>317.48998999999998</v>
      </c>
      <c r="E400">
        <v>319.41000400000001</v>
      </c>
      <c r="F400">
        <v>311.79998799999998</v>
      </c>
      <c r="G400">
        <v>318.82998700000002</v>
      </c>
      <c r="H400">
        <v>318.82998700000002</v>
      </c>
      <c r="I400">
        <f t="shared" si="26"/>
        <v>1.3399970000000394</v>
      </c>
      <c r="J400">
        <v>6280300</v>
      </c>
      <c r="K400">
        <v>-8.4677419354838704E-2</v>
      </c>
      <c r="L400">
        <v>-21</v>
      </c>
      <c r="M400">
        <f t="shared" si="27"/>
        <v>4.2205960572175502E-3</v>
      </c>
      <c r="N400">
        <v>248</v>
      </c>
    </row>
    <row r="401" spans="1:14" x14ac:dyDescent="0.25">
      <c r="A401" s="1">
        <v>43682</v>
      </c>
      <c r="B401" s="1">
        <f t="shared" si="24"/>
        <v>2019</v>
      </c>
      <c r="C401" s="1" t="str">
        <f t="shared" si="25"/>
        <v>Aug</v>
      </c>
      <c r="D401">
        <v>310.959991</v>
      </c>
      <c r="E401">
        <v>313.42001299999998</v>
      </c>
      <c r="F401">
        <v>304.67999300000002</v>
      </c>
      <c r="G401">
        <v>307.63000499999998</v>
      </c>
      <c r="H401">
        <v>307.63000499999998</v>
      </c>
      <c r="I401">
        <f t="shared" si="26"/>
        <v>-3.3299860000000194</v>
      </c>
      <c r="J401">
        <v>8692500</v>
      </c>
      <c r="K401">
        <v>-0.14041095890410901</v>
      </c>
      <c r="L401">
        <v>-41</v>
      </c>
      <c r="M401">
        <f t="shared" si="27"/>
        <v>-1.0708728120589699E-2</v>
      </c>
      <c r="N401">
        <v>292</v>
      </c>
    </row>
    <row r="402" spans="1:14" x14ac:dyDescent="0.25">
      <c r="A402" s="1">
        <v>43683</v>
      </c>
      <c r="B402" s="1">
        <f t="shared" si="24"/>
        <v>2019</v>
      </c>
      <c r="C402" s="1" t="str">
        <f t="shared" si="25"/>
        <v>Aug</v>
      </c>
      <c r="D402">
        <v>310.57998700000002</v>
      </c>
      <c r="E402">
        <v>311.88000499999998</v>
      </c>
      <c r="F402">
        <v>305.29998799999998</v>
      </c>
      <c r="G402">
        <v>310.10000600000001</v>
      </c>
      <c r="H402">
        <v>310.10000600000001</v>
      </c>
      <c r="I402">
        <f t="shared" si="26"/>
        <v>-0.47998100000000932</v>
      </c>
      <c r="J402">
        <v>6179100</v>
      </c>
      <c r="K402">
        <v>-0.143661971830985</v>
      </c>
      <c r="L402">
        <v>-51</v>
      </c>
      <c r="M402">
        <f t="shared" si="27"/>
        <v>-1.5454344133255737E-3</v>
      </c>
      <c r="N402">
        <v>355</v>
      </c>
    </row>
    <row r="403" spans="1:14" x14ac:dyDescent="0.25">
      <c r="A403" s="1">
        <v>43684</v>
      </c>
      <c r="B403" s="1">
        <f t="shared" si="24"/>
        <v>2019</v>
      </c>
      <c r="C403" s="1" t="str">
        <f t="shared" si="25"/>
        <v>Aug</v>
      </c>
      <c r="D403">
        <v>302.55999800000001</v>
      </c>
      <c r="E403">
        <v>305</v>
      </c>
      <c r="F403">
        <v>296.80999800000001</v>
      </c>
      <c r="G403">
        <v>304.290009</v>
      </c>
      <c r="H403">
        <v>304.290009</v>
      </c>
      <c r="I403">
        <f t="shared" si="26"/>
        <v>1.7300109999999904</v>
      </c>
      <c r="J403">
        <v>9322400</v>
      </c>
      <c r="K403">
        <v>-0.116550116550116</v>
      </c>
      <c r="L403">
        <v>-50</v>
      </c>
      <c r="M403">
        <f t="shared" si="27"/>
        <v>5.7179105348883243E-3</v>
      </c>
      <c r="N403">
        <v>429</v>
      </c>
    </row>
    <row r="404" spans="1:14" x14ac:dyDescent="0.25">
      <c r="A404" s="1">
        <v>43685</v>
      </c>
      <c r="B404" s="1">
        <f t="shared" si="24"/>
        <v>2019</v>
      </c>
      <c r="C404" s="1" t="str">
        <f t="shared" si="25"/>
        <v>Aug</v>
      </c>
      <c r="D404">
        <v>311.02999899999998</v>
      </c>
      <c r="E404">
        <v>316.35998499999999</v>
      </c>
      <c r="F404">
        <v>306.63000499999998</v>
      </c>
      <c r="G404">
        <v>315.89999399999999</v>
      </c>
      <c r="H404">
        <v>315.89999399999999</v>
      </c>
      <c r="I404">
        <f t="shared" si="26"/>
        <v>4.8699950000000172</v>
      </c>
      <c r="J404">
        <v>5905900</v>
      </c>
      <c r="K404">
        <v>-4.7887323943661901E-2</v>
      </c>
      <c r="L404">
        <v>-17</v>
      </c>
      <c r="M404">
        <f t="shared" si="27"/>
        <v>1.5657637577267965E-2</v>
      </c>
      <c r="N404">
        <v>355</v>
      </c>
    </row>
    <row r="405" spans="1:14" x14ac:dyDescent="0.25">
      <c r="A405" s="1">
        <v>43686</v>
      </c>
      <c r="B405" s="1">
        <f t="shared" si="24"/>
        <v>2019</v>
      </c>
      <c r="C405" s="1" t="str">
        <f t="shared" si="25"/>
        <v>Aug</v>
      </c>
      <c r="D405">
        <v>313.73998999999998</v>
      </c>
      <c r="E405">
        <v>316.64001500000001</v>
      </c>
      <c r="F405">
        <v>305.67999300000002</v>
      </c>
      <c r="G405">
        <v>308.92999300000002</v>
      </c>
      <c r="H405">
        <v>308.92999300000002</v>
      </c>
      <c r="I405">
        <f t="shared" si="26"/>
        <v>-4.809996999999953</v>
      </c>
      <c r="J405">
        <v>5349100</v>
      </c>
      <c r="K405">
        <v>-2.6785714285714201E-2</v>
      </c>
      <c r="L405">
        <v>-6</v>
      </c>
      <c r="M405">
        <f t="shared" si="27"/>
        <v>-1.5331156860175693E-2</v>
      </c>
      <c r="N405">
        <v>224</v>
      </c>
    </row>
    <row r="406" spans="1:14" x14ac:dyDescent="0.25">
      <c r="A406" s="1">
        <v>43689</v>
      </c>
      <c r="B406" s="1">
        <f t="shared" si="24"/>
        <v>2019</v>
      </c>
      <c r="C406" s="1" t="str">
        <f t="shared" si="25"/>
        <v>Aug</v>
      </c>
      <c r="D406">
        <v>305.459991</v>
      </c>
      <c r="E406">
        <v>312.89001500000001</v>
      </c>
      <c r="F406">
        <v>303.23998999999998</v>
      </c>
      <c r="G406">
        <v>310.82998700000002</v>
      </c>
      <c r="H406">
        <v>310.82998700000002</v>
      </c>
      <c r="I406">
        <f t="shared" si="26"/>
        <v>5.3699960000000146</v>
      </c>
      <c r="J406">
        <v>6531700</v>
      </c>
      <c r="K406">
        <v>-5.6537102473498198E-2</v>
      </c>
      <c r="L406">
        <v>-16</v>
      </c>
      <c r="M406">
        <f t="shared" si="27"/>
        <v>1.7580030636483633E-2</v>
      </c>
      <c r="N406">
        <v>283</v>
      </c>
    </row>
    <row r="407" spans="1:14" x14ac:dyDescent="0.25">
      <c r="A407" s="1">
        <v>43690</v>
      </c>
      <c r="B407" s="1">
        <f t="shared" si="24"/>
        <v>2019</v>
      </c>
      <c r="C407" s="1" t="str">
        <f t="shared" si="25"/>
        <v>Aug</v>
      </c>
      <c r="D407">
        <v>309.76998900000001</v>
      </c>
      <c r="E407">
        <v>316.42999300000002</v>
      </c>
      <c r="F407">
        <v>308.16000400000001</v>
      </c>
      <c r="G407">
        <v>312.27999899999998</v>
      </c>
      <c r="H407">
        <v>312.27999899999998</v>
      </c>
      <c r="I407">
        <f t="shared" si="26"/>
        <v>2.5100099999999657</v>
      </c>
      <c r="J407">
        <v>5289400</v>
      </c>
      <c r="K407">
        <v>-9.5940959409594101E-2</v>
      </c>
      <c r="L407">
        <v>-26</v>
      </c>
      <c r="M407">
        <f t="shared" si="27"/>
        <v>8.10281850770239E-3</v>
      </c>
      <c r="N407">
        <v>271</v>
      </c>
    </row>
    <row r="408" spans="1:14" x14ac:dyDescent="0.25">
      <c r="A408" s="1">
        <v>43691</v>
      </c>
      <c r="B408" s="1">
        <f t="shared" si="24"/>
        <v>2019</v>
      </c>
      <c r="C408" s="1" t="str">
        <f t="shared" si="25"/>
        <v>Aug</v>
      </c>
      <c r="D408">
        <v>308.01001000000002</v>
      </c>
      <c r="E408">
        <v>308.41000400000001</v>
      </c>
      <c r="F408">
        <v>298.01001000000002</v>
      </c>
      <c r="G408">
        <v>299.10998499999999</v>
      </c>
      <c r="H408">
        <v>299.10998499999999</v>
      </c>
      <c r="I408">
        <f t="shared" si="26"/>
        <v>-8.9000250000000278</v>
      </c>
      <c r="J408">
        <v>7355800</v>
      </c>
      <c r="K408">
        <v>-0.17314487632508799</v>
      </c>
      <c r="L408">
        <v>-49</v>
      </c>
      <c r="M408">
        <f t="shared" si="27"/>
        <v>-2.8895245969441145E-2</v>
      </c>
      <c r="N408">
        <v>283</v>
      </c>
    </row>
    <row r="409" spans="1:14" x14ac:dyDescent="0.25">
      <c r="A409" s="1">
        <v>43692</v>
      </c>
      <c r="B409" s="1">
        <f t="shared" si="24"/>
        <v>2019</v>
      </c>
      <c r="C409" s="1" t="str">
        <f t="shared" si="25"/>
        <v>Aug</v>
      </c>
      <c r="D409">
        <v>299.5</v>
      </c>
      <c r="E409">
        <v>300.63000499999998</v>
      </c>
      <c r="F409">
        <v>288</v>
      </c>
      <c r="G409">
        <v>295.76001000000002</v>
      </c>
      <c r="H409">
        <v>295.76001000000002</v>
      </c>
      <c r="I409">
        <f t="shared" si="26"/>
        <v>-3.7399899999999775</v>
      </c>
      <c r="J409">
        <v>9629200</v>
      </c>
      <c r="K409">
        <v>-7.3529411764705802E-2</v>
      </c>
      <c r="L409">
        <v>-25</v>
      </c>
      <c r="M409">
        <f t="shared" si="27"/>
        <v>-1.2487445742904767E-2</v>
      </c>
      <c r="N409">
        <v>340</v>
      </c>
    </row>
    <row r="410" spans="1:14" x14ac:dyDescent="0.25">
      <c r="A410" s="1">
        <v>43693</v>
      </c>
      <c r="B410" s="1">
        <f t="shared" si="24"/>
        <v>2019</v>
      </c>
      <c r="C410" s="1" t="str">
        <f t="shared" si="25"/>
        <v>Aug</v>
      </c>
      <c r="D410">
        <v>298.85998499999999</v>
      </c>
      <c r="E410">
        <v>303.54998799999998</v>
      </c>
      <c r="F410">
        <v>296.26998900000001</v>
      </c>
      <c r="G410">
        <v>302.79998799999998</v>
      </c>
      <c r="H410">
        <v>302.79998799999998</v>
      </c>
      <c r="I410">
        <f t="shared" si="26"/>
        <v>3.9400029999999902</v>
      </c>
      <c r="J410">
        <v>6905800</v>
      </c>
      <c r="K410">
        <v>-0.11764705882352899</v>
      </c>
      <c r="L410">
        <v>-36</v>
      </c>
      <c r="M410">
        <f t="shared" si="27"/>
        <v>1.3183441068565905E-2</v>
      </c>
      <c r="N410">
        <v>306</v>
      </c>
    </row>
    <row r="411" spans="1:14" x14ac:dyDescent="0.25">
      <c r="A411" s="1">
        <v>43696</v>
      </c>
      <c r="B411" s="1">
        <f t="shared" si="24"/>
        <v>2019</v>
      </c>
      <c r="C411" s="1" t="str">
        <f t="shared" si="25"/>
        <v>Aug</v>
      </c>
      <c r="D411">
        <v>306.25</v>
      </c>
      <c r="E411">
        <v>311.75</v>
      </c>
      <c r="F411">
        <v>304.75</v>
      </c>
      <c r="G411">
        <v>309.38000499999998</v>
      </c>
      <c r="H411">
        <v>309.38000499999998</v>
      </c>
      <c r="I411">
        <f t="shared" si="26"/>
        <v>3.1300049999999828</v>
      </c>
      <c r="J411">
        <v>4942200</v>
      </c>
      <c r="K411">
        <v>-6.6666666666666596E-2</v>
      </c>
      <c r="L411">
        <v>-31</v>
      </c>
      <c r="M411">
        <f t="shared" si="27"/>
        <v>1.0220424489795862E-2</v>
      </c>
      <c r="N411">
        <v>465</v>
      </c>
    </row>
    <row r="412" spans="1:14" x14ac:dyDescent="0.25">
      <c r="A412" s="1">
        <v>43697</v>
      </c>
      <c r="B412" s="1">
        <f t="shared" si="24"/>
        <v>2019</v>
      </c>
      <c r="C412" s="1" t="str">
        <f t="shared" si="25"/>
        <v>Aug</v>
      </c>
      <c r="D412">
        <v>304.57000699999998</v>
      </c>
      <c r="E412">
        <v>305</v>
      </c>
      <c r="F412">
        <v>297.67999300000002</v>
      </c>
      <c r="G412">
        <v>298.98998999999998</v>
      </c>
      <c r="H412">
        <v>298.98998999999998</v>
      </c>
      <c r="I412">
        <f t="shared" si="26"/>
        <v>-5.580016999999998</v>
      </c>
      <c r="J412">
        <v>7349900</v>
      </c>
      <c r="K412">
        <v>-0.117328519855595</v>
      </c>
      <c r="L412">
        <v>-65</v>
      </c>
      <c r="M412">
        <f t="shared" si="27"/>
        <v>-1.8320966844250025E-2</v>
      </c>
      <c r="N412">
        <v>554</v>
      </c>
    </row>
    <row r="413" spans="1:14" x14ac:dyDescent="0.25">
      <c r="A413" s="1">
        <v>43698</v>
      </c>
      <c r="B413" s="1">
        <f t="shared" si="24"/>
        <v>2019</v>
      </c>
      <c r="C413" s="1" t="str">
        <f t="shared" si="25"/>
        <v>Aug</v>
      </c>
      <c r="D413">
        <v>301.60998499999999</v>
      </c>
      <c r="E413">
        <v>302.88000499999998</v>
      </c>
      <c r="F413">
        <v>296.20001200000002</v>
      </c>
      <c r="G413">
        <v>297.80999800000001</v>
      </c>
      <c r="H413">
        <v>297.80999800000001</v>
      </c>
      <c r="I413">
        <f t="shared" si="26"/>
        <v>-3.7999869999999873</v>
      </c>
      <c r="J413">
        <v>5685400</v>
      </c>
      <c r="K413">
        <v>-0.13409961685823699</v>
      </c>
      <c r="L413">
        <v>-70</v>
      </c>
      <c r="M413">
        <f t="shared" si="27"/>
        <v>-1.2599009280146966E-2</v>
      </c>
      <c r="N413">
        <v>522</v>
      </c>
    </row>
    <row r="414" spans="1:14" x14ac:dyDescent="0.25">
      <c r="A414" s="1">
        <v>43699</v>
      </c>
      <c r="B414" s="1">
        <f t="shared" si="24"/>
        <v>2019</v>
      </c>
      <c r="C414" s="1" t="str">
        <f t="shared" si="25"/>
        <v>Aug</v>
      </c>
      <c r="D414">
        <v>298.64999399999999</v>
      </c>
      <c r="E414">
        <v>300.32998700000002</v>
      </c>
      <c r="F414">
        <v>293.14999399999999</v>
      </c>
      <c r="G414">
        <v>296.92999300000002</v>
      </c>
      <c r="H414">
        <v>296.92999300000002</v>
      </c>
      <c r="I414">
        <f t="shared" si="26"/>
        <v>-1.7200009999999679</v>
      </c>
      <c r="J414">
        <v>4974200</v>
      </c>
      <c r="K414">
        <v>-0.109339407744874</v>
      </c>
      <c r="L414">
        <v>-48</v>
      </c>
      <c r="M414">
        <f t="shared" si="27"/>
        <v>-5.7592534222517611E-3</v>
      </c>
      <c r="N414">
        <v>439</v>
      </c>
    </row>
    <row r="415" spans="1:14" x14ac:dyDescent="0.25">
      <c r="A415" s="1">
        <v>43700</v>
      </c>
      <c r="B415" s="1">
        <f t="shared" si="24"/>
        <v>2019</v>
      </c>
      <c r="C415" s="1" t="str">
        <f t="shared" si="25"/>
        <v>Aug</v>
      </c>
      <c r="D415">
        <v>295</v>
      </c>
      <c r="E415">
        <v>299.01001000000002</v>
      </c>
      <c r="F415">
        <v>290.32000699999998</v>
      </c>
      <c r="G415">
        <v>291.44000199999999</v>
      </c>
      <c r="H415">
        <v>291.44000199999999</v>
      </c>
      <c r="I415">
        <f t="shared" si="26"/>
        <v>-3.5599980000000073</v>
      </c>
      <c r="J415">
        <v>6324900</v>
      </c>
      <c r="K415">
        <v>-0.116772823779193</v>
      </c>
      <c r="L415">
        <v>-55</v>
      </c>
      <c r="M415">
        <f t="shared" si="27"/>
        <v>-1.2067789830508499E-2</v>
      </c>
      <c r="N415">
        <v>471</v>
      </c>
    </row>
    <row r="416" spans="1:14" x14ac:dyDescent="0.25">
      <c r="A416" s="1">
        <v>43703</v>
      </c>
      <c r="B416" s="1">
        <f t="shared" si="24"/>
        <v>2019</v>
      </c>
      <c r="C416" s="1" t="str">
        <f t="shared" si="25"/>
        <v>Aug</v>
      </c>
      <c r="D416">
        <v>295.23998999999998</v>
      </c>
      <c r="E416">
        <v>296.95001200000002</v>
      </c>
      <c r="F416">
        <v>292.5</v>
      </c>
      <c r="G416">
        <v>294.98001099999999</v>
      </c>
      <c r="H416">
        <v>294.98001099999999</v>
      </c>
      <c r="I416">
        <f t="shared" si="26"/>
        <v>-0.25997899999998708</v>
      </c>
      <c r="J416">
        <v>4695700</v>
      </c>
      <c r="K416">
        <v>-8.7606837606837601E-2</v>
      </c>
      <c r="L416">
        <v>-41</v>
      </c>
      <c r="M416">
        <f t="shared" si="27"/>
        <v>-8.8056838099739507E-4</v>
      </c>
      <c r="N416">
        <v>468</v>
      </c>
    </row>
    <row r="417" spans="1:14" x14ac:dyDescent="0.25">
      <c r="A417" s="1">
        <v>43704</v>
      </c>
      <c r="B417" s="1">
        <f t="shared" si="24"/>
        <v>2019</v>
      </c>
      <c r="C417" s="1" t="str">
        <f t="shared" si="25"/>
        <v>Aug</v>
      </c>
      <c r="D417">
        <v>294.540009</v>
      </c>
      <c r="E417">
        <v>296.76998900000001</v>
      </c>
      <c r="F417">
        <v>287.20001200000002</v>
      </c>
      <c r="G417">
        <v>291.02999899999998</v>
      </c>
      <c r="H417">
        <v>291.02999899999998</v>
      </c>
      <c r="I417">
        <f t="shared" si="26"/>
        <v>-3.5100100000000225</v>
      </c>
      <c r="J417">
        <v>6309400</v>
      </c>
      <c r="K417">
        <v>-0.15415821501014099</v>
      </c>
      <c r="L417">
        <v>-76</v>
      </c>
      <c r="M417">
        <f t="shared" si="27"/>
        <v>-1.191692093687694E-2</v>
      </c>
      <c r="N417">
        <v>493</v>
      </c>
    </row>
    <row r="418" spans="1:14" x14ac:dyDescent="0.25">
      <c r="A418" s="1">
        <v>43705</v>
      </c>
      <c r="B418" s="1">
        <f t="shared" si="24"/>
        <v>2019</v>
      </c>
      <c r="C418" s="1" t="str">
        <f t="shared" si="25"/>
        <v>Aug</v>
      </c>
      <c r="D418">
        <v>289.47000100000002</v>
      </c>
      <c r="E418">
        <v>292.82000699999998</v>
      </c>
      <c r="F418">
        <v>287.75</v>
      </c>
      <c r="G418">
        <v>291.76998900000001</v>
      </c>
      <c r="H418">
        <v>291.76998900000001</v>
      </c>
      <c r="I418">
        <f t="shared" si="26"/>
        <v>2.2999879999999848</v>
      </c>
      <c r="J418">
        <v>3955700</v>
      </c>
      <c r="K418">
        <v>-0.113243761996161</v>
      </c>
      <c r="L418">
        <v>-59</v>
      </c>
      <c r="M418">
        <f t="shared" si="27"/>
        <v>7.9455141881869286E-3</v>
      </c>
      <c r="N418">
        <v>521</v>
      </c>
    </row>
    <row r="419" spans="1:14" x14ac:dyDescent="0.25">
      <c r="A419" s="1">
        <v>43706</v>
      </c>
      <c r="B419" s="1">
        <f t="shared" si="24"/>
        <v>2019</v>
      </c>
      <c r="C419" s="1" t="str">
        <f t="shared" si="25"/>
        <v>Aug</v>
      </c>
      <c r="D419">
        <v>295</v>
      </c>
      <c r="E419">
        <v>299.92999300000002</v>
      </c>
      <c r="F419">
        <v>294.98998999999998</v>
      </c>
      <c r="G419">
        <v>296.77999899999998</v>
      </c>
      <c r="H419">
        <v>296.77999899999998</v>
      </c>
      <c r="I419">
        <f t="shared" si="26"/>
        <v>1.7799989999999752</v>
      </c>
      <c r="J419">
        <v>4388500</v>
      </c>
      <c r="K419">
        <v>-6.8265682656826504E-2</v>
      </c>
      <c r="L419">
        <v>-37</v>
      </c>
      <c r="M419">
        <f t="shared" si="27"/>
        <v>6.0338949152541534E-3</v>
      </c>
      <c r="N419">
        <v>542</v>
      </c>
    </row>
    <row r="420" spans="1:14" x14ac:dyDescent="0.25">
      <c r="A420" s="1">
        <v>43707</v>
      </c>
      <c r="B420" s="1">
        <f t="shared" si="24"/>
        <v>2019</v>
      </c>
      <c r="C420" s="1" t="str">
        <f t="shared" si="25"/>
        <v>Aug</v>
      </c>
      <c r="D420">
        <v>298.77999899999998</v>
      </c>
      <c r="E420">
        <v>298.94000199999999</v>
      </c>
      <c r="F420">
        <v>290.85000600000001</v>
      </c>
      <c r="G420">
        <v>293.75</v>
      </c>
      <c r="H420">
        <v>293.75</v>
      </c>
      <c r="I420">
        <f t="shared" si="26"/>
        <v>-5.0299989999999752</v>
      </c>
      <c r="J420">
        <v>4446400</v>
      </c>
      <c r="K420">
        <v>-0.101351351351351</v>
      </c>
      <c r="L420">
        <v>-45</v>
      </c>
      <c r="M420">
        <f t="shared" si="27"/>
        <v>-1.6835126236143992E-2</v>
      </c>
      <c r="N420">
        <v>444</v>
      </c>
    </row>
    <row r="421" spans="1:14" x14ac:dyDescent="0.25">
      <c r="A421" s="1">
        <v>43711</v>
      </c>
      <c r="B421" s="1">
        <f t="shared" si="24"/>
        <v>2019</v>
      </c>
      <c r="C421" s="1" t="str">
        <f t="shared" si="25"/>
        <v>Sep</v>
      </c>
      <c r="D421">
        <v>290.82000699999998</v>
      </c>
      <c r="E421">
        <v>293.89999399999999</v>
      </c>
      <c r="F421">
        <v>288.05999800000001</v>
      </c>
      <c r="G421">
        <v>289.290009</v>
      </c>
      <c r="H421">
        <v>289.290009</v>
      </c>
      <c r="I421">
        <f t="shared" si="26"/>
        <v>-1.5299979999999778</v>
      </c>
      <c r="J421">
        <v>3682800</v>
      </c>
      <c r="K421">
        <v>-7.25806451612903E-2</v>
      </c>
      <c r="L421">
        <v>-36</v>
      </c>
      <c r="M421">
        <f t="shared" si="27"/>
        <v>-5.2609791732794297E-3</v>
      </c>
      <c r="N421">
        <v>496</v>
      </c>
    </row>
    <row r="422" spans="1:14" x14ac:dyDescent="0.25">
      <c r="A422" s="1">
        <v>43712</v>
      </c>
      <c r="B422" s="1">
        <f t="shared" si="24"/>
        <v>2019</v>
      </c>
      <c r="C422" s="1" t="str">
        <f t="shared" si="25"/>
        <v>Sep</v>
      </c>
      <c r="D422">
        <v>291.25</v>
      </c>
      <c r="E422">
        <v>292.38000499999998</v>
      </c>
      <c r="F422">
        <v>286.51001000000002</v>
      </c>
      <c r="G422">
        <v>291.51998900000001</v>
      </c>
      <c r="H422">
        <v>291.51998900000001</v>
      </c>
      <c r="I422">
        <f t="shared" si="26"/>
        <v>0.26998900000000958</v>
      </c>
      <c r="J422">
        <v>4652500</v>
      </c>
      <c r="K422">
        <v>-6.8000000000000005E-2</v>
      </c>
      <c r="L422">
        <v>-34</v>
      </c>
      <c r="M422">
        <f t="shared" si="27"/>
        <v>9.2700085836913161E-4</v>
      </c>
      <c r="N422">
        <v>500</v>
      </c>
    </row>
    <row r="423" spans="1:14" x14ac:dyDescent="0.25">
      <c r="A423" s="1">
        <v>43713</v>
      </c>
      <c r="B423" s="1">
        <f t="shared" si="24"/>
        <v>2019</v>
      </c>
      <c r="C423" s="1" t="str">
        <f t="shared" si="25"/>
        <v>Sep</v>
      </c>
      <c r="D423">
        <v>285.32000699999998</v>
      </c>
      <c r="E423">
        <v>293.97000100000002</v>
      </c>
      <c r="F423">
        <v>282.790009</v>
      </c>
      <c r="G423">
        <v>293.25</v>
      </c>
      <c r="H423">
        <v>293.25</v>
      </c>
      <c r="I423">
        <f t="shared" si="26"/>
        <v>7.9299930000000245</v>
      </c>
      <c r="J423">
        <v>8966800</v>
      </c>
      <c r="K423">
        <v>-8.8277858176555701E-2</v>
      </c>
      <c r="L423">
        <v>-61</v>
      </c>
      <c r="M423">
        <f t="shared" si="27"/>
        <v>2.7793329613930738E-2</v>
      </c>
      <c r="N423">
        <v>691</v>
      </c>
    </row>
    <row r="424" spans="1:14" x14ac:dyDescent="0.25">
      <c r="A424" s="1">
        <v>43714</v>
      </c>
      <c r="B424" s="1">
        <f t="shared" si="24"/>
        <v>2019</v>
      </c>
      <c r="C424" s="1" t="str">
        <f t="shared" si="25"/>
        <v>Sep</v>
      </c>
      <c r="D424">
        <v>293.35000600000001</v>
      </c>
      <c r="E424">
        <v>293.35000600000001</v>
      </c>
      <c r="F424">
        <v>287.02999899999998</v>
      </c>
      <c r="G424">
        <v>290.17001299999998</v>
      </c>
      <c r="H424">
        <v>290.17001299999998</v>
      </c>
      <c r="I424">
        <f t="shared" si="26"/>
        <v>-3.1799930000000245</v>
      </c>
      <c r="J424">
        <v>5166600</v>
      </c>
      <c r="K424">
        <v>-6.6115702479338803E-2</v>
      </c>
      <c r="L424">
        <v>-32</v>
      </c>
      <c r="M424">
        <f t="shared" si="27"/>
        <v>-1.0840269081160422E-2</v>
      </c>
      <c r="N424">
        <v>484</v>
      </c>
    </row>
    <row r="425" spans="1:14" x14ac:dyDescent="0.25">
      <c r="A425" s="1">
        <v>43717</v>
      </c>
      <c r="B425" s="1">
        <f t="shared" si="24"/>
        <v>2019</v>
      </c>
      <c r="C425" s="1" t="str">
        <f t="shared" si="25"/>
        <v>Sep</v>
      </c>
      <c r="D425">
        <v>294.80999800000001</v>
      </c>
      <c r="E425">
        <v>301.54998799999998</v>
      </c>
      <c r="F425">
        <v>290.60000600000001</v>
      </c>
      <c r="G425">
        <v>294.33999599999999</v>
      </c>
      <c r="H425">
        <v>294.33999599999999</v>
      </c>
      <c r="I425">
        <f t="shared" si="26"/>
        <v>-0.47000200000002224</v>
      </c>
      <c r="J425">
        <v>8232700</v>
      </c>
      <c r="K425">
        <v>-7.8048780487804795E-2</v>
      </c>
      <c r="L425">
        <v>-32</v>
      </c>
      <c r="M425">
        <f t="shared" si="27"/>
        <v>-1.5942539370731321E-3</v>
      </c>
      <c r="N425">
        <v>410</v>
      </c>
    </row>
    <row r="426" spans="1:14" x14ac:dyDescent="0.25">
      <c r="A426" s="1">
        <v>43718</v>
      </c>
      <c r="B426" s="1">
        <f t="shared" si="24"/>
        <v>2019</v>
      </c>
      <c r="C426" s="1" t="str">
        <f t="shared" si="25"/>
        <v>Sep</v>
      </c>
      <c r="D426">
        <v>291.16000400000001</v>
      </c>
      <c r="E426">
        <v>297.17001299999998</v>
      </c>
      <c r="F426">
        <v>282.66000400000001</v>
      </c>
      <c r="G426">
        <v>287.98998999999998</v>
      </c>
      <c r="H426">
        <v>287.98998999999998</v>
      </c>
      <c r="I426">
        <f t="shared" si="26"/>
        <v>-3.1700140000000374</v>
      </c>
      <c r="J426">
        <v>12320200</v>
      </c>
      <c r="K426">
        <v>-0.13186813186813101</v>
      </c>
      <c r="L426">
        <v>-96</v>
      </c>
      <c r="M426">
        <f t="shared" si="27"/>
        <v>-1.088753247853382E-2</v>
      </c>
      <c r="N426">
        <v>728</v>
      </c>
    </row>
    <row r="427" spans="1:14" x14ac:dyDescent="0.25">
      <c r="A427" s="1">
        <v>43719</v>
      </c>
      <c r="B427" s="1">
        <f t="shared" si="24"/>
        <v>2019</v>
      </c>
      <c r="C427" s="1" t="str">
        <f t="shared" si="25"/>
        <v>Sep</v>
      </c>
      <c r="D427">
        <v>285.70001200000002</v>
      </c>
      <c r="E427">
        <v>292.64999399999999</v>
      </c>
      <c r="F427">
        <v>284.60998499999999</v>
      </c>
      <c r="G427">
        <v>288.26998900000001</v>
      </c>
      <c r="H427">
        <v>288.26998900000001</v>
      </c>
      <c r="I427">
        <f t="shared" si="26"/>
        <v>2.5699769999999944</v>
      </c>
      <c r="J427">
        <v>7405900</v>
      </c>
      <c r="K427">
        <v>-0.11749999999999999</v>
      </c>
      <c r="L427">
        <v>-47</v>
      </c>
      <c r="M427">
        <f t="shared" si="27"/>
        <v>8.9953688906390192E-3</v>
      </c>
      <c r="N427">
        <v>400</v>
      </c>
    </row>
    <row r="428" spans="1:14" x14ac:dyDescent="0.25">
      <c r="A428" s="1">
        <v>43720</v>
      </c>
      <c r="B428" s="1">
        <f t="shared" si="24"/>
        <v>2019</v>
      </c>
      <c r="C428" s="1" t="str">
        <f t="shared" si="25"/>
        <v>Sep</v>
      </c>
      <c r="D428">
        <v>288.10000600000001</v>
      </c>
      <c r="E428">
        <v>292.73001099999999</v>
      </c>
      <c r="F428">
        <v>286.60000600000001</v>
      </c>
      <c r="G428">
        <v>288.85998499999999</v>
      </c>
      <c r="H428">
        <v>288.85998499999999</v>
      </c>
      <c r="I428">
        <f t="shared" si="26"/>
        <v>0.75997899999998708</v>
      </c>
      <c r="J428">
        <v>5010900</v>
      </c>
      <c r="K428">
        <v>-8.4142394822006403E-2</v>
      </c>
      <c r="L428">
        <v>-26</v>
      </c>
      <c r="M428">
        <f t="shared" si="27"/>
        <v>2.6378999797729511E-3</v>
      </c>
      <c r="N428">
        <v>309</v>
      </c>
    </row>
    <row r="429" spans="1:14" x14ac:dyDescent="0.25">
      <c r="A429" s="1">
        <v>43721</v>
      </c>
      <c r="B429" s="1">
        <f t="shared" si="24"/>
        <v>2019</v>
      </c>
      <c r="C429" s="1" t="str">
        <f t="shared" si="25"/>
        <v>Sep</v>
      </c>
      <c r="D429">
        <v>290.60998499999999</v>
      </c>
      <c r="E429">
        <v>296.61999500000002</v>
      </c>
      <c r="F429">
        <v>290.040009</v>
      </c>
      <c r="G429">
        <v>294.14999399999999</v>
      </c>
      <c r="H429">
        <v>294.14999399999999</v>
      </c>
      <c r="I429">
        <f t="shared" si="26"/>
        <v>3.5400089999999977</v>
      </c>
      <c r="J429">
        <v>6583100</v>
      </c>
      <c r="K429">
        <v>-6.4425770308123201E-2</v>
      </c>
      <c r="L429">
        <v>-23</v>
      </c>
      <c r="M429">
        <f t="shared" si="27"/>
        <v>1.2181305470285193E-2</v>
      </c>
      <c r="N429">
        <v>357</v>
      </c>
    </row>
    <row r="430" spans="1:14" x14ac:dyDescent="0.25">
      <c r="A430" s="1">
        <v>43724</v>
      </c>
      <c r="B430" s="1">
        <f t="shared" si="24"/>
        <v>2019</v>
      </c>
      <c r="C430" s="1" t="str">
        <f t="shared" si="25"/>
        <v>Sep</v>
      </c>
      <c r="D430">
        <v>294.23001099999999</v>
      </c>
      <c r="E430">
        <v>297.42999300000002</v>
      </c>
      <c r="F430">
        <v>289.77999899999998</v>
      </c>
      <c r="G430">
        <v>294.290009</v>
      </c>
      <c r="H430">
        <v>294.290009</v>
      </c>
      <c r="I430">
        <f t="shared" si="26"/>
        <v>5.9998000000007323E-2</v>
      </c>
      <c r="J430">
        <v>5307400</v>
      </c>
      <c r="K430">
        <v>-0.107981220657277</v>
      </c>
      <c r="L430">
        <v>-46</v>
      </c>
      <c r="M430">
        <f t="shared" si="27"/>
        <v>2.0391529673024185E-4</v>
      </c>
      <c r="N430">
        <v>426</v>
      </c>
    </row>
    <row r="431" spans="1:14" x14ac:dyDescent="0.25">
      <c r="A431" s="1">
        <v>43725</v>
      </c>
      <c r="B431" s="1">
        <f t="shared" si="24"/>
        <v>2019</v>
      </c>
      <c r="C431" s="1" t="str">
        <f t="shared" si="25"/>
        <v>Sep</v>
      </c>
      <c r="D431">
        <v>294.5</v>
      </c>
      <c r="E431">
        <v>299.14999399999999</v>
      </c>
      <c r="F431">
        <v>291.790009</v>
      </c>
      <c r="G431">
        <v>298.60000600000001</v>
      </c>
      <c r="H431">
        <v>298.60000600000001</v>
      </c>
      <c r="I431">
        <f t="shared" si="26"/>
        <v>4.1000060000000076</v>
      </c>
      <c r="J431">
        <v>4777100</v>
      </c>
      <c r="K431">
        <v>-5.4187192118226597E-2</v>
      </c>
      <c r="L431">
        <v>-22</v>
      </c>
      <c r="M431">
        <f t="shared" si="27"/>
        <v>1.392192190152804E-2</v>
      </c>
      <c r="N431">
        <v>406</v>
      </c>
    </row>
    <row r="432" spans="1:14" x14ac:dyDescent="0.25">
      <c r="A432" s="1">
        <v>43726</v>
      </c>
      <c r="B432" s="1">
        <f t="shared" si="24"/>
        <v>2019</v>
      </c>
      <c r="C432" s="1" t="str">
        <f t="shared" si="25"/>
        <v>Sep</v>
      </c>
      <c r="D432">
        <v>294.98998999999998</v>
      </c>
      <c r="E432">
        <v>296.04998799999998</v>
      </c>
      <c r="F432">
        <v>287.45001200000002</v>
      </c>
      <c r="G432">
        <v>291.55999800000001</v>
      </c>
      <c r="H432">
        <v>291.55999800000001</v>
      </c>
      <c r="I432">
        <f t="shared" si="26"/>
        <v>-3.4299919999999702</v>
      </c>
      <c r="J432">
        <v>7811100</v>
      </c>
      <c r="K432">
        <v>-0.113526570048309</v>
      </c>
      <c r="L432">
        <v>-47</v>
      </c>
      <c r="M432">
        <f t="shared" si="27"/>
        <v>-1.1627486071645925E-2</v>
      </c>
      <c r="N432">
        <v>414</v>
      </c>
    </row>
    <row r="433" spans="1:14" x14ac:dyDescent="0.25">
      <c r="A433" s="1">
        <v>43727</v>
      </c>
      <c r="B433" s="1">
        <f t="shared" si="24"/>
        <v>2019</v>
      </c>
      <c r="C433" s="1" t="str">
        <f t="shared" si="25"/>
        <v>Sep</v>
      </c>
      <c r="D433">
        <v>291.55999800000001</v>
      </c>
      <c r="E433">
        <v>293.80999800000001</v>
      </c>
      <c r="F433">
        <v>283.39999399999999</v>
      </c>
      <c r="G433">
        <v>286.60000600000001</v>
      </c>
      <c r="H433">
        <v>286.60000600000001</v>
      </c>
      <c r="I433">
        <f t="shared" si="26"/>
        <v>-4.9599919999999997</v>
      </c>
      <c r="J433">
        <v>8461300</v>
      </c>
      <c r="K433">
        <v>-0.18363273453093801</v>
      </c>
      <c r="L433">
        <v>-92</v>
      </c>
      <c r="M433">
        <f t="shared" si="27"/>
        <v>-1.7011908471751325E-2</v>
      </c>
      <c r="N433">
        <v>501</v>
      </c>
    </row>
    <row r="434" spans="1:14" x14ac:dyDescent="0.25">
      <c r="A434" s="1">
        <v>43728</v>
      </c>
      <c r="B434" s="1">
        <f t="shared" si="24"/>
        <v>2019</v>
      </c>
      <c r="C434" s="1" t="str">
        <f t="shared" si="25"/>
        <v>Sep</v>
      </c>
      <c r="D434">
        <v>280.26001000000002</v>
      </c>
      <c r="E434">
        <v>282.5</v>
      </c>
      <c r="F434">
        <v>266</v>
      </c>
      <c r="G434">
        <v>270.75</v>
      </c>
      <c r="H434">
        <v>270.75</v>
      </c>
      <c r="I434">
        <f t="shared" si="26"/>
        <v>-9.5100100000000225</v>
      </c>
      <c r="J434">
        <v>23832800</v>
      </c>
      <c r="K434">
        <v>-0.13767342582710701</v>
      </c>
      <c r="L434">
        <v>-129</v>
      </c>
      <c r="M434">
        <f t="shared" si="27"/>
        <v>-3.393281117773464E-2</v>
      </c>
      <c r="N434">
        <v>937</v>
      </c>
    </row>
    <row r="435" spans="1:14" x14ac:dyDescent="0.25">
      <c r="A435" s="1">
        <v>43731</v>
      </c>
      <c r="B435" s="1">
        <f t="shared" si="24"/>
        <v>2019</v>
      </c>
      <c r="C435" s="1" t="str">
        <f t="shared" si="25"/>
        <v>Sep</v>
      </c>
      <c r="D435">
        <v>268.35000600000001</v>
      </c>
      <c r="E435">
        <v>273.39001500000001</v>
      </c>
      <c r="F435">
        <v>261.89001500000001</v>
      </c>
      <c r="G435">
        <v>265.92001299999998</v>
      </c>
      <c r="H435">
        <v>265.92001299999998</v>
      </c>
      <c r="I435">
        <f t="shared" si="26"/>
        <v>-2.4299930000000245</v>
      </c>
      <c r="J435">
        <v>13478600</v>
      </c>
      <c r="K435">
        <v>-0.12724550898203499</v>
      </c>
      <c r="L435">
        <v>-85</v>
      </c>
      <c r="M435">
        <f t="shared" si="27"/>
        <v>-9.0553118899502627E-3</v>
      </c>
      <c r="N435">
        <v>668</v>
      </c>
    </row>
    <row r="436" spans="1:14" x14ac:dyDescent="0.25">
      <c r="A436" s="1">
        <v>43732</v>
      </c>
      <c r="B436" s="1">
        <f t="shared" si="24"/>
        <v>2019</v>
      </c>
      <c r="C436" s="1" t="str">
        <f t="shared" si="25"/>
        <v>Sep</v>
      </c>
      <c r="D436">
        <v>262.5</v>
      </c>
      <c r="E436">
        <v>265</v>
      </c>
      <c r="F436">
        <v>252.279999</v>
      </c>
      <c r="G436">
        <v>254.58999600000001</v>
      </c>
      <c r="H436">
        <v>254.58999600000001</v>
      </c>
      <c r="I436">
        <f t="shared" si="26"/>
        <v>-7.9100039999999865</v>
      </c>
      <c r="J436">
        <v>16338200</v>
      </c>
      <c r="K436">
        <v>-0.12207792207792199</v>
      </c>
      <c r="L436">
        <v>-94</v>
      </c>
      <c r="M436">
        <f t="shared" si="27"/>
        <v>-3.013334857142852E-2</v>
      </c>
      <c r="N436">
        <v>770</v>
      </c>
    </row>
    <row r="437" spans="1:14" x14ac:dyDescent="0.25">
      <c r="A437" s="1">
        <v>43733</v>
      </c>
      <c r="B437" s="1">
        <f t="shared" si="24"/>
        <v>2019</v>
      </c>
      <c r="C437" s="1" t="str">
        <f t="shared" si="25"/>
        <v>Sep</v>
      </c>
      <c r="D437">
        <v>255.71000699999999</v>
      </c>
      <c r="E437">
        <v>266.60000600000001</v>
      </c>
      <c r="F437">
        <v>253.699997</v>
      </c>
      <c r="G437">
        <v>264.75</v>
      </c>
      <c r="H437">
        <v>264.75</v>
      </c>
      <c r="I437">
        <f t="shared" si="26"/>
        <v>9.0399930000000097</v>
      </c>
      <c r="J437">
        <v>11643800</v>
      </c>
      <c r="K437">
        <v>-0.11048689138576701</v>
      </c>
      <c r="L437">
        <v>-59</v>
      </c>
      <c r="M437">
        <f t="shared" si="27"/>
        <v>3.5352519465536636E-2</v>
      </c>
      <c r="N437">
        <v>534</v>
      </c>
    </row>
    <row r="438" spans="1:14" x14ac:dyDescent="0.25">
      <c r="A438" s="1">
        <v>43734</v>
      </c>
      <c r="B438" s="1">
        <f t="shared" si="24"/>
        <v>2019</v>
      </c>
      <c r="C438" s="1" t="str">
        <f t="shared" si="25"/>
        <v>Sep</v>
      </c>
      <c r="D438">
        <v>266.42001299999998</v>
      </c>
      <c r="E438">
        <v>268.04998799999998</v>
      </c>
      <c r="F438">
        <v>260.20001200000002</v>
      </c>
      <c r="G438">
        <v>263.30999800000001</v>
      </c>
      <c r="H438">
        <v>263.30999800000001</v>
      </c>
      <c r="I438">
        <f t="shared" si="26"/>
        <v>-3.1100149999999758</v>
      </c>
      <c r="J438">
        <v>7684000</v>
      </c>
      <c r="K438">
        <v>-0.11734693877551</v>
      </c>
      <c r="L438">
        <v>-46</v>
      </c>
      <c r="M438">
        <f t="shared" si="27"/>
        <v>-1.1673353532941896E-2</v>
      </c>
      <c r="N438">
        <v>392</v>
      </c>
    </row>
    <row r="439" spans="1:14" x14ac:dyDescent="0.25">
      <c r="A439" s="1">
        <v>43735</v>
      </c>
      <c r="B439" s="1">
        <f t="shared" si="24"/>
        <v>2019</v>
      </c>
      <c r="C439" s="1" t="str">
        <f t="shared" si="25"/>
        <v>Sep</v>
      </c>
      <c r="D439">
        <v>266.17999300000002</v>
      </c>
      <c r="E439">
        <v>267.44000199999999</v>
      </c>
      <c r="F439">
        <v>260.39001500000001</v>
      </c>
      <c r="G439">
        <v>263.07998700000002</v>
      </c>
      <c r="H439">
        <v>263.07998700000002</v>
      </c>
      <c r="I439">
        <f t="shared" si="26"/>
        <v>-3.1000060000000076</v>
      </c>
      <c r="J439">
        <v>7328300</v>
      </c>
      <c r="K439">
        <v>-9.3373493975903596E-2</v>
      </c>
      <c r="L439">
        <v>-31</v>
      </c>
      <c r="M439">
        <f t="shared" si="27"/>
        <v>-1.1646277261717439E-2</v>
      </c>
      <c r="N439">
        <v>332</v>
      </c>
    </row>
    <row r="440" spans="1:14" x14ac:dyDescent="0.25">
      <c r="A440" s="1">
        <v>43738</v>
      </c>
      <c r="B440" s="1">
        <f t="shared" si="24"/>
        <v>2019</v>
      </c>
      <c r="C440" s="1" t="str">
        <f t="shared" si="25"/>
        <v>Sep</v>
      </c>
      <c r="D440">
        <v>264</v>
      </c>
      <c r="E440">
        <v>268.88000499999998</v>
      </c>
      <c r="F440">
        <v>262.77999899999998</v>
      </c>
      <c r="G440">
        <v>267.61999500000002</v>
      </c>
      <c r="H440">
        <v>267.61999500000002</v>
      </c>
      <c r="I440">
        <f t="shared" si="26"/>
        <v>3.6199950000000172</v>
      </c>
      <c r="J440">
        <v>6727200</v>
      </c>
      <c r="K440">
        <v>-5.6338028169014003E-2</v>
      </c>
      <c r="L440">
        <v>-16</v>
      </c>
      <c r="M440">
        <f t="shared" si="27"/>
        <v>1.3712102272727338E-2</v>
      </c>
      <c r="N440">
        <v>284</v>
      </c>
    </row>
    <row r="441" spans="1:14" x14ac:dyDescent="0.25">
      <c r="A441" s="1">
        <v>43739</v>
      </c>
      <c r="B441" s="1">
        <f t="shared" si="24"/>
        <v>2019</v>
      </c>
      <c r="C441" s="1" t="str">
        <f t="shared" si="25"/>
        <v>Oct</v>
      </c>
      <c r="D441">
        <v>267.35000600000001</v>
      </c>
      <c r="E441">
        <v>272.20001200000002</v>
      </c>
      <c r="F441">
        <v>264.02999899999998</v>
      </c>
      <c r="G441">
        <v>269.57998700000002</v>
      </c>
      <c r="H441">
        <v>269.57998700000002</v>
      </c>
      <c r="I441">
        <f t="shared" si="26"/>
        <v>2.2299810000000093</v>
      </c>
      <c r="J441">
        <v>8650300</v>
      </c>
      <c r="K441">
        <v>-6.3400576368875999E-2</v>
      </c>
      <c r="L441">
        <v>-22</v>
      </c>
      <c r="M441">
        <f t="shared" si="27"/>
        <v>8.3410546098884666E-3</v>
      </c>
      <c r="N441">
        <v>347</v>
      </c>
    </row>
    <row r="442" spans="1:14" x14ac:dyDescent="0.25">
      <c r="A442" s="1">
        <v>43740</v>
      </c>
      <c r="B442" s="1">
        <f t="shared" si="24"/>
        <v>2019</v>
      </c>
      <c r="C442" s="1" t="str">
        <f t="shared" si="25"/>
        <v>Oct</v>
      </c>
      <c r="D442">
        <v>263.60998499999999</v>
      </c>
      <c r="E442">
        <v>269.35000600000001</v>
      </c>
      <c r="F442">
        <v>262.19000199999999</v>
      </c>
      <c r="G442">
        <v>268.02999899999998</v>
      </c>
      <c r="H442">
        <v>268.02999899999998</v>
      </c>
      <c r="I442">
        <f t="shared" si="26"/>
        <v>4.4200139999999806</v>
      </c>
      <c r="J442">
        <v>7659100</v>
      </c>
      <c r="K442">
        <v>-8.6705202312138699E-2</v>
      </c>
      <c r="L442">
        <v>-30</v>
      </c>
      <c r="M442">
        <f t="shared" si="27"/>
        <v>1.6767248023628469E-2</v>
      </c>
      <c r="N442">
        <v>346</v>
      </c>
    </row>
    <row r="443" spans="1:14" x14ac:dyDescent="0.25">
      <c r="A443" s="1">
        <v>43741</v>
      </c>
      <c r="B443" s="1">
        <f t="shared" si="24"/>
        <v>2019</v>
      </c>
      <c r="C443" s="1" t="str">
        <f t="shared" si="25"/>
        <v>Oct</v>
      </c>
      <c r="D443">
        <v>267.77999899999998</v>
      </c>
      <c r="E443">
        <v>268.83999599999999</v>
      </c>
      <c r="F443">
        <v>257.01001000000002</v>
      </c>
      <c r="G443">
        <v>268.14999399999999</v>
      </c>
      <c r="H443">
        <v>268.14999399999999</v>
      </c>
      <c r="I443">
        <f t="shared" si="26"/>
        <v>0.36999500000001717</v>
      </c>
      <c r="J443">
        <v>8951000</v>
      </c>
      <c r="K443">
        <v>-0.107871720116618</v>
      </c>
      <c r="L443">
        <v>-37</v>
      </c>
      <c r="M443">
        <f t="shared" si="27"/>
        <v>1.3817126050553806E-3</v>
      </c>
      <c r="N443">
        <v>343</v>
      </c>
    </row>
    <row r="444" spans="1:14" x14ac:dyDescent="0.25">
      <c r="A444" s="1">
        <v>43742</v>
      </c>
      <c r="B444" s="1">
        <f t="shared" si="24"/>
        <v>2019</v>
      </c>
      <c r="C444" s="1" t="str">
        <f t="shared" si="25"/>
        <v>Oct</v>
      </c>
      <c r="D444">
        <v>268.20001200000002</v>
      </c>
      <c r="E444">
        <v>275.48001099999999</v>
      </c>
      <c r="F444">
        <v>266.47000100000002</v>
      </c>
      <c r="G444">
        <v>272.790009</v>
      </c>
      <c r="H444">
        <v>272.790009</v>
      </c>
      <c r="I444">
        <f t="shared" si="26"/>
        <v>4.5899969999999826</v>
      </c>
      <c r="J444">
        <v>9890400</v>
      </c>
      <c r="K444">
        <v>-0.135188866799204</v>
      </c>
      <c r="L444">
        <v>-68</v>
      </c>
      <c r="M444">
        <f t="shared" si="27"/>
        <v>1.7114082008318411E-2</v>
      </c>
      <c r="N444">
        <v>503</v>
      </c>
    </row>
    <row r="445" spans="1:14" x14ac:dyDescent="0.25">
      <c r="A445" s="1">
        <v>43745</v>
      </c>
      <c r="B445" s="1">
        <f t="shared" si="24"/>
        <v>2019</v>
      </c>
      <c r="C445" s="1" t="str">
        <f t="shared" si="25"/>
        <v>Oct</v>
      </c>
      <c r="D445">
        <v>271.98998999999998</v>
      </c>
      <c r="E445">
        <v>276.67999300000002</v>
      </c>
      <c r="F445">
        <v>271.27999899999998</v>
      </c>
      <c r="G445">
        <v>274.459991</v>
      </c>
      <c r="H445">
        <v>274.459991</v>
      </c>
      <c r="I445">
        <f t="shared" si="26"/>
        <v>2.4700010000000248</v>
      </c>
      <c r="J445">
        <v>6525600</v>
      </c>
      <c r="K445">
        <v>-9.3333333333333296E-2</v>
      </c>
      <c r="L445">
        <v>-35</v>
      </c>
      <c r="M445">
        <f t="shared" si="27"/>
        <v>9.0812202316711173E-3</v>
      </c>
      <c r="N445">
        <v>375</v>
      </c>
    </row>
    <row r="446" spans="1:14" x14ac:dyDescent="0.25">
      <c r="A446" s="1">
        <v>43746</v>
      </c>
      <c r="B446" s="1">
        <f t="shared" si="24"/>
        <v>2019</v>
      </c>
      <c r="C446" s="1" t="str">
        <f t="shared" si="25"/>
        <v>Oct</v>
      </c>
      <c r="D446">
        <v>273.02999899999998</v>
      </c>
      <c r="E446">
        <v>275.52999899999998</v>
      </c>
      <c r="F446">
        <v>270.64001500000001</v>
      </c>
      <c r="G446">
        <v>270.72000100000002</v>
      </c>
      <c r="H446">
        <v>270.72000100000002</v>
      </c>
      <c r="I446">
        <f t="shared" si="26"/>
        <v>-2.3099979999999505</v>
      </c>
      <c r="J446">
        <v>6276400</v>
      </c>
      <c r="K446">
        <v>-0.127906976744186</v>
      </c>
      <c r="L446">
        <v>-44</v>
      </c>
      <c r="M446">
        <f t="shared" si="27"/>
        <v>-8.4606014301012791E-3</v>
      </c>
      <c r="N446">
        <v>344</v>
      </c>
    </row>
    <row r="447" spans="1:14" x14ac:dyDescent="0.25">
      <c r="A447" s="1">
        <v>43747</v>
      </c>
      <c r="B447" s="1">
        <f t="shared" si="24"/>
        <v>2019</v>
      </c>
      <c r="C447" s="1" t="str">
        <f t="shared" si="25"/>
        <v>Oct</v>
      </c>
      <c r="D447">
        <v>270.01998900000001</v>
      </c>
      <c r="E447">
        <v>271</v>
      </c>
      <c r="F447">
        <v>264.57000699999998</v>
      </c>
      <c r="G447">
        <v>267.52999899999998</v>
      </c>
      <c r="H447">
        <v>267.52999899999998</v>
      </c>
      <c r="I447">
        <f t="shared" si="26"/>
        <v>-2.4899900000000343</v>
      </c>
      <c r="J447">
        <v>6794400</v>
      </c>
      <c r="K447">
        <v>-9.0909090909090898E-2</v>
      </c>
      <c r="L447">
        <v>-38</v>
      </c>
      <c r="M447">
        <f t="shared" si="27"/>
        <v>-9.2215024866178861E-3</v>
      </c>
      <c r="N447">
        <v>418</v>
      </c>
    </row>
    <row r="448" spans="1:14" x14ac:dyDescent="0.25">
      <c r="A448" s="1">
        <v>43748</v>
      </c>
      <c r="B448" s="1">
        <f t="shared" si="24"/>
        <v>2019</v>
      </c>
      <c r="C448" s="1" t="str">
        <f t="shared" si="25"/>
        <v>Oct</v>
      </c>
      <c r="D448">
        <v>265.97000100000002</v>
      </c>
      <c r="E448">
        <v>280.52999899999998</v>
      </c>
      <c r="F448">
        <v>265.02999899999998</v>
      </c>
      <c r="G448">
        <v>280.48001099999999</v>
      </c>
      <c r="H448">
        <v>280.48001099999999</v>
      </c>
      <c r="I448">
        <f t="shared" si="26"/>
        <v>14.510009999999966</v>
      </c>
      <c r="J448">
        <v>10809100</v>
      </c>
      <c r="K448">
        <v>-6.2724014336917502E-2</v>
      </c>
      <c r="L448">
        <v>-35</v>
      </c>
      <c r="M448">
        <f t="shared" si="27"/>
        <v>5.4555062395927743E-2</v>
      </c>
      <c r="N448">
        <v>558</v>
      </c>
    </row>
    <row r="449" spans="1:14" x14ac:dyDescent="0.25">
      <c r="A449" s="1">
        <v>43749</v>
      </c>
      <c r="B449" s="1">
        <f t="shared" si="24"/>
        <v>2019</v>
      </c>
      <c r="C449" s="1" t="str">
        <f t="shared" si="25"/>
        <v>Oct</v>
      </c>
      <c r="D449">
        <v>284.79998799999998</v>
      </c>
      <c r="E449">
        <v>287.86999500000002</v>
      </c>
      <c r="F449">
        <v>282.33999599999999</v>
      </c>
      <c r="G449">
        <v>282.92999300000002</v>
      </c>
      <c r="H449">
        <v>282.92999300000002</v>
      </c>
      <c r="I449">
        <f t="shared" si="26"/>
        <v>-1.8699949999999603</v>
      </c>
      <c r="J449">
        <v>8786100</v>
      </c>
      <c r="K449">
        <v>-8.2514734774066803E-2</v>
      </c>
      <c r="L449">
        <v>-42</v>
      </c>
      <c r="M449">
        <f t="shared" si="27"/>
        <v>-6.5659939564321904E-3</v>
      </c>
      <c r="N449">
        <v>509</v>
      </c>
    </row>
    <row r="450" spans="1:14" x14ac:dyDescent="0.25">
      <c r="A450" s="1">
        <v>43752</v>
      </c>
      <c r="B450" s="1">
        <f t="shared" ref="B450:B513" si="28">YEAR(A450)</f>
        <v>2019</v>
      </c>
      <c r="C450" s="1" t="str">
        <f t="shared" ref="C450:C513" si="29">TEXT(A450,"mmm")</f>
        <v>Oct</v>
      </c>
      <c r="D450">
        <v>283.92999300000002</v>
      </c>
      <c r="E450">
        <v>286.92999300000002</v>
      </c>
      <c r="F450">
        <v>282</v>
      </c>
      <c r="G450">
        <v>285.52999899999998</v>
      </c>
      <c r="H450">
        <v>285.52999899999998</v>
      </c>
      <c r="I450">
        <f t="shared" ref="I450:I513" si="30">G450-D450</f>
        <v>1.6000059999999507</v>
      </c>
      <c r="J450">
        <v>5513200</v>
      </c>
      <c r="K450">
        <v>-9.5808383233532898E-2</v>
      </c>
      <c r="L450">
        <v>-32</v>
      </c>
      <c r="M450">
        <f t="shared" ref="M450:M513" si="31">(G450-D450)/D450</f>
        <v>5.6352130435193245E-3</v>
      </c>
      <c r="N450">
        <v>334</v>
      </c>
    </row>
    <row r="451" spans="1:14" x14ac:dyDescent="0.25">
      <c r="A451" s="1">
        <v>43753</v>
      </c>
      <c r="B451" s="1">
        <f t="shared" si="28"/>
        <v>2019</v>
      </c>
      <c r="C451" s="1" t="str">
        <f t="shared" si="29"/>
        <v>Oct</v>
      </c>
      <c r="D451">
        <v>283.82000699999998</v>
      </c>
      <c r="E451">
        <v>285.86999500000002</v>
      </c>
      <c r="F451">
        <v>279.39999399999999</v>
      </c>
      <c r="G451">
        <v>284.25</v>
      </c>
      <c r="H451">
        <v>284.25</v>
      </c>
      <c r="I451">
        <f t="shared" si="30"/>
        <v>0.42999300000002449</v>
      </c>
      <c r="J451">
        <v>7685600</v>
      </c>
      <c r="K451">
        <v>-9.4262295081967207E-2</v>
      </c>
      <c r="L451">
        <v>-46</v>
      </c>
      <c r="M451">
        <f t="shared" si="31"/>
        <v>1.5150200457856536E-3</v>
      </c>
      <c r="N451">
        <v>488</v>
      </c>
    </row>
    <row r="452" spans="1:14" x14ac:dyDescent="0.25">
      <c r="A452" s="1">
        <v>43754</v>
      </c>
      <c r="B452" s="1">
        <f t="shared" si="28"/>
        <v>2019</v>
      </c>
      <c r="C452" s="1" t="str">
        <f t="shared" si="29"/>
        <v>Oct</v>
      </c>
      <c r="D452">
        <v>283.11999500000002</v>
      </c>
      <c r="E452">
        <v>288.17001299999998</v>
      </c>
      <c r="F452">
        <v>280.73998999999998</v>
      </c>
      <c r="G452">
        <v>286.27999899999998</v>
      </c>
      <c r="H452">
        <v>286.27999899999998</v>
      </c>
      <c r="I452">
        <f t="shared" si="30"/>
        <v>3.1600039999999581</v>
      </c>
      <c r="J452">
        <v>16175900</v>
      </c>
      <c r="K452">
        <v>-6.3201417601890103E-2</v>
      </c>
      <c r="L452">
        <v>-107</v>
      </c>
      <c r="M452">
        <f t="shared" si="31"/>
        <v>1.1161359338113713E-2</v>
      </c>
      <c r="N452">
        <v>1693</v>
      </c>
    </row>
    <row r="453" spans="1:14" x14ac:dyDescent="0.25">
      <c r="A453" s="1">
        <v>43755</v>
      </c>
      <c r="B453" s="1">
        <f t="shared" si="28"/>
        <v>2019</v>
      </c>
      <c r="C453" s="1" t="str">
        <f t="shared" si="29"/>
        <v>Oct</v>
      </c>
      <c r="D453">
        <v>304.48998999999998</v>
      </c>
      <c r="E453">
        <v>308.75</v>
      </c>
      <c r="F453">
        <v>288.29998799999998</v>
      </c>
      <c r="G453">
        <v>293.35000600000001</v>
      </c>
      <c r="H453">
        <v>293.35000600000001</v>
      </c>
      <c r="I453">
        <f t="shared" si="30"/>
        <v>-11.13998399999997</v>
      </c>
      <c r="J453">
        <v>38258900</v>
      </c>
      <c r="K453">
        <v>-8.7572440437862206E-2</v>
      </c>
      <c r="L453">
        <v>-136</v>
      </c>
      <c r="M453">
        <f t="shared" si="31"/>
        <v>-3.6585715018086377E-2</v>
      </c>
      <c r="N453">
        <v>1553</v>
      </c>
    </row>
    <row r="454" spans="1:14" x14ac:dyDescent="0.25">
      <c r="A454" s="1">
        <v>43756</v>
      </c>
      <c r="B454" s="1">
        <f t="shared" si="28"/>
        <v>2019</v>
      </c>
      <c r="C454" s="1" t="str">
        <f t="shared" si="29"/>
        <v>Oct</v>
      </c>
      <c r="D454">
        <v>289.35998499999999</v>
      </c>
      <c r="E454">
        <v>290.89999399999999</v>
      </c>
      <c r="F454">
        <v>273.35998499999999</v>
      </c>
      <c r="G454">
        <v>275.29998799999998</v>
      </c>
      <c r="H454">
        <v>275.29998799999998</v>
      </c>
      <c r="I454">
        <f t="shared" si="30"/>
        <v>-14.05999700000001</v>
      </c>
      <c r="J454">
        <v>23429900</v>
      </c>
      <c r="K454">
        <v>-8.9812332439678205E-2</v>
      </c>
      <c r="L454">
        <v>-67</v>
      </c>
      <c r="M454">
        <f t="shared" si="31"/>
        <v>-4.8589983856959389E-2</v>
      </c>
      <c r="N454">
        <v>746</v>
      </c>
    </row>
    <row r="455" spans="1:14" x14ac:dyDescent="0.25">
      <c r="A455" s="1">
        <v>43759</v>
      </c>
      <c r="B455" s="1">
        <f t="shared" si="28"/>
        <v>2019</v>
      </c>
      <c r="C455" s="1" t="str">
        <f t="shared" si="29"/>
        <v>Oct</v>
      </c>
      <c r="D455">
        <v>272.89001500000001</v>
      </c>
      <c r="E455">
        <v>279.94000199999999</v>
      </c>
      <c r="F455">
        <v>269</v>
      </c>
      <c r="G455">
        <v>278.04998799999998</v>
      </c>
      <c r="H455">
        <v>278.04998799999998</v>
      </c>
      <c r="I455">
        <f t="shared" si="30"/>
        <v>5.1599729999999795</v>
      </c>
      <c r="J455">
        <v>12599200</v>
      </c>
      <c r="K455">
        <v>-6.8627450980392093E-2</v>
      </c>
      <c r="L455">
        <v>-35</v>
      </c>
      <c r="M455">
        <f t="shared" si="31"/>
        <v>1.8908617818061167E-2</v>
      </c>
      <c r="N455">
        <v>510</v>
      </c>
    </row>
    <row r="456" spans="1:14" x14ac:dyDescent="0.25">
      <c r="A456" s="1">
        <v>43760</v>
      </c>
      <c r="B456" s="1">
        <f t="shared" si="28"/>
        <v>2019</v>
      </c>
      <c r="C456" s="1" t="str">
        <f t="shared" si="29"/>
        <v>Oct</v>
      </c>
      <c r="D456">
        <v>271.16000400000001</v>
      </c>
      <c r="E456">
        <v>275.41000400000001</v>
      </c>
      <c r="F456">
        <v>265.79998799999998</v>
      </c>
      <c r="G456">
        <v>266.69000199999999</v>
      </c>
      <c r="H456">
        <v>266.69000199999999</v>
      </c>
      <c r="I456">
        <f t="shared" si="30"/>
        <v>-4.4700020000000222</v>
      </c>
      <c r="J456">
        <v>11802400</v>
      </c>
      <c r="K456">
        <v>-0.14261460101867501</v>
      </c>
      <c r="L456">
        <v>-84</v>
      </c>
      <c r="M456">
        <f t="shared" si="31"/>
        <v>-1.6484739393941083E-2</v>
      </c>
      <c r="N456">
        <v>589</v>
      </c>
    </row>
    <row r="457" spans="1:14" x14ac:dyDescent="0.25">
      <c r="A457" s="1">
        <v>43761</v>
      </c>
      <c r="B457" s="1">
        <f t="shared" si="28"/>
        <v>2019</v>
      </c>
      <c r="C457" s="1" t="str">
        <f t="shared" si="29"/>
        <v>Oct</v>
      </c>
      <c r="D457">
        <v>268.05999800000001</v>
      </c>
      <c r="E457">
        <v>273.92001299999998</v>
      </c>
      <c r="F457">
        <v>266.63000499999998</v>
      </c>
      <c r="G457">
        <v>271.26998900000001</v>
      </c>
      <c r="H457">
        <v>271.26998900000001</v>
      </c>
      <c r="I457">
        <f t="shared" si="30"/>
        <v>3.2099910000000023</v>
      </c>
      <c r="J457">
        <v>7133500</v>
      </c>
      <c r="K457">
        <v>-7.4074074074074001E-2</v>
      </c>
      <c r="L457">
        <v>-30</v>
      </c>
      <c r="M457">
        <f t="shared" si="31"/>
        <v>1.1974897500372294E-2</v>
      </c>
      <c r="N457">
        <v>405</v>
      </c>
    </row>
    <row r="458" spans="1:14" x14ac:dyDescent="0.25">
      <c r="A458" s="1">
        <v>43762</v>
      </c>
      <c r="B458" s="1">
        <f t="shared" si="28"/>
        <v>2019</v>
      </c>
      <c r="C458" s="1" t="str">
        <f t="shared" si="29"/>
        <v>Oct</v>
      </c>
      <c r="D458">
        <v>271.80999800000001</v>
      </c>
      <c r="E458">
        <v>274.01998900000001</v>
      </c>
      <c r="F458">
        <v>268.79998799999998</v>
      </c>
      <c r="G458">
        <v>271.5</v>
      </c>
      <c r="H458">
        <v>271.5</v>
      </c>
      <c r="I458">
        <f t="shared" si="30"/>
        <v>-0.30999800000000732</v>
      </c>
      <c r="J458">
        <v>4827400</v>
      </c>
      <c r="K458">
        <v>-0.11724137931034399</v>
      </c>
      <c r="L458">
        <v>-34</v>
      </c>
      <c r="M458">
        <f t="shared" si="31"/>
        <v>-1.1404952072440223E-3</v>
      </c>
      <c r="N458">
        <v>290</v>
      </c>
    </row>
    <row r="459" spans="1:14" x14ac:dyDescent="0.25">
      <c r="A459" s="1">
        <v>43763</v>
      </c>
      <c r="B459" s="1">
        <f t="shared" si="28"/>
        <v>2019</v>
      </c>
      <c r="C459" s="1" t="str">
        <f t="shared" si="29"/>
        <v>Oct</v>
      </c>
      <c r="D459">
        <v>270.67999300000002</v>
      </c>
      <c r="E459">
        <v>277.76998900000001</v>
      </c>
      <c r="F459">
        <v>270.17999300000002</v>
      </c>
      <c r="G459">
        <v>276.82000699999998</v>
      </c>
      <c r="H459">
        <v>276.82000699999998</v>
      </c>
      <c r="I459">
        <f t="shared" si="30"/>
        <v>6.140013999999951</v>
      </c>
      <c r="J459">
        <v>4747800</v>
      </c>
      <c r="K459">
        <v>-9.4405594405594401E-2</v>
      </c>
      <c r="L459">
        <v>-27</v>
      </c>
      <c r="M459">
        <f t="shared" si="31"/>
        <v>2.2683663952954035E-2</v>
      </c>
      <c r="N459">
        <v>286</v>
      </c>
    </row>
    <row r="460" spans="1:14" x14ac:dyDescent="0.25">
      <c r="A460" s="1">
        <v>43766</v>
      </c>
      <c r="B460" s="1">
        <f t="shared" si="28"/>
        <v>2019</v>
      </c>
      <c r="C460" s="1" t="str">
        <f t="shared" si="29"/>
        <v>Oct</v>
      </c>
      <c r="D460">
        <v>278.04998799999998</v>
      </c>
      <c r="E460">
        <v>285.75</v>
      </c>
      <c r="F460">
        <v>277.35000600000001</v>
      </c>
      <c r="G460">
        <v>281.85998499999999</v>
      </c>
      <c r="H460">
        <v>281.85998499999999</v>
      </c>
      <c r="I460">
        <f t="shared" si="30"/>
        <v>3.8099970000000098</v>
      </c>
      <c r="J460">
        <v>6248400</v>
      </c>
      <c r="K460">
        <v>-5.7034220532319303E-2</v>
      </c>
      <c r="L460">
        <v>-15</v>
      </c>
      <c r="M460">
        <f t="shared" si="31"/>
        <v>1.3702561281894426E-2</v>
      </c>
      <c r="N460">
        <v>263</v>
      </c>
    </row>
    <row r="461" spans="1:14" x14ac:dyDescent="0.25">
      <c r="A461" s="1">
        <v>43767</v>
      </c>
      <c r="B461" s="1">
        <f t="shared" si="28"/>
        <v>2019</v>
      </c>
      <c r="C461" s="1" t="str">
        <f t="shared" si="29"/>
        <v>Oct</v>
      </c>
      <c r="D461">
        <v>281.86999500000002</v>
      </c>
      <c r="E461">
        <v>284.41000400000001</v>
      </c>
      <c r="F461">
        <v>277.54998799999998</v>
      </c>
      <c r="G461">
        <v>281.209991</v>
      </c>
      <c r="H461">
        <v>281.209991</v>
      </c>
      <c r="I461">
        <f t="shared" si="30"/>
        <v>-0.66000400000001491</v>
      </c>
      <c r="J461">
        <v>4356200</v>
      </c>
      <c r="K461">
        <v>-7.3972602739726001E-2</v>
      </c>
      <c r="L461">
        <v>-27</v>
      </c>
      <c r="M461">
        <f t="shared" si="31"/>
        <v>-2.3415191815645891E-3</v>
      </c>
      <c r="N461">
        <v>365</v>
      </c>
    </row>
    <row r="462" spans="1:14" x14ac:dyDescent="0.25">
      <c r="A462" s="1">
        <v>43768</v>
      </c>
      <c r="B462" s="1">
        <f t="shared" si="28"/>
        <v>2019</v>
      </c>
      <c r="C462" s="1" t="str">
        <f t="shared" si="29"/>
        <v>Oct</v>
      </c>
      <c r="D462">
        <v>284.33999599999999</v>
      </c>
      <c r="E462">
        <v>293.48998999999998</v>
      </c>
      <c r="F462">
        <v>283</v>
      </c>
      <c r="G462">
        <v>291.45001200000002</v>
      </c>
      <c r="H462">
        <v>291.45001200000002</v>
      </c>
      <c r="I462">
        <f t="shared" si="30"/>
        <v>7.1100160000000301</v>
      </c>
      <c r="J462">
        <v>9345600</v>
      </c>
      <c r="K462">
        <v>-7.9457364341085204E-2</v>
      </c>
      <c r="L462">
        <v>-41</v>
      </c>
      <c r="M462">
        <f t="shared" si="31"/>
        <v>2.500533199698023E-2</v>
      </c>
      <c r="N462">
        <v>516</v>
      </c>
    </row>
    <row r="463" spans="1:14" x14ac:dyDescent="0.25">
      <c r="A463" s="1">
        <v>43769</v>
      </c>
      <c r="B463" s="1">
        <f t="shared" si="28"/>
        <v>2019</v>
      </c>
      <c r="C463" s="1" t="str">
        <f t="shared" si="29"/>
        <v>Oct</v>
      </c>
      <c r="D463">
        <v>291</v>
      </c>
      <c r="E463">
        <v>291.45001200000002</v>
      </c>
      <c r="F463">
        <v>284.77999899999998</v>
      </c>
      <c r="G463">
        <v>287.41000400000001</v>
      </c>
      <c r="H463">
        <v>287.41000400000001</v>
      </c>
      <c r="I463">
        <f t="shared" si="30"/>
        <v>-3.5899959999999851</v>
      </c>
      <c r="J463">
        <v>5090000</v>
      </c>
      <c r="K463">
        <v>-0.101382488479262</v>
      </c>
      <c r="L463">
        <v>-22</v>
      </c>
      <c r="M463">
        <f t="shared" si="31"/>
        <v>-1.2336756013745653E-2</v>
      </c>
      <c r="N463">
        <v>217</v>
      </c>
    </row>
    <row r="464" spans="1:14" x14ac:dyDescent="0.25">
      <c r="A464" s="1">
        <v>43770</v>
      </c>
      <c r="B464" s="1">
        <f t="shared" si="28"/>
        <v>2019</v>
      </c>
      <c r="C464" s="1" t="str">
        <f t="shared" si="29"/>
        <v>Nov</v>
      </c>
      <c r="D464">
        <v>288.70001200000002</v>
      </c>
      <c r="E464">
        <v>289.11999500000002</v>
      </c>
      <c r="F464">
        <v>283.01998900000001</v>
      </c>
      <c r="G464">
        <v>286.80999800000001</v>
      </c>
      <c r="H464">
        <v>286.80999800000001</v>
      </c>
      <c r="I464">
        <f t="shared" si="30"/>
        <v>-1.8900140000000079</v>
      </c>
      <c r="J464">
        <v>5594300</v>
      </c>
      <c r="K464">
        <v>-8.9928057553956803E-2</v>
      </c>
      <c r="L464">
        <v>-25</v>
      </c>
      <c r="M464">
        <f t="shared" si="31"/>
        <v>-6.54663637492335E-3</v>
      </c>
      <c r="N464">
        <v>278</v>
      </c>
    </row>
    <row r="465" spans="1:14" x14ac:dyDescent="0.25">
      <c r="A465" s="1">
        <v>43773</v>
      </c>
      <c r="B465" s="1">
        <f t="shared" si="28"/>
        <v>2019</v>
      </c>
      <c r="C465" s="1" t="str">
        <f t="shared" si="29"/>
        <v>Nov</v>
      </c>
      <c r="D465">
        <v>288</v>
      </c>
      <c r="E465">
        <v>295.39001500000001</v>
      </c>
      <c r="F465">
        <v>287.16000400000001</v>
      </c>
      <c r="G465">
        <v>292.85998499999999</v>
      </c>
      <c r="H465">
        <v>292.85998499999999</v>
      </c>
      <c r="I465">
        <f t="shared" si="30"/>
        <v>4.8599849999999947</v>
      </c>
      <c r="J465">
        <v>5566200</v>
      </c>
      <c r="K465">
        <v>-6.1135371179039298E-2</v>
      </c>
      <c r="L465">
        <v>-14</v>
      </c>
      <c r="M465">
        <f t="shared" si="31"/>
        <v>1.6874947916666647E-2</v>
      </c>
      <c r="N465">
        <v>229</v>
      </c>
    </row>
    <row r="466" spans="1:14" x14ac:dyDescent="0.25">
      <c r="A466" s="1">
        <v>43774</v>
      </c>
      <c r="B466" s="1">
        <f t="shared" si="28"/>
        <v>2019</v>
      </c>
      <c r="C466" s="1" t="str">
        <f t="shared" si="29"/>
        <v>Nov</v>
      </c>
      <c r="D466">
        <v>289.98998999999998</v>
      </c>
      <c r="E466">
        <v>291.19000199999999</v>
      </c>
      <c r="F466">
        <v>286.30999800000001</v>
      </c>
      <c r="G466">
        <v>288.02999899999998</v>
      </c>
      <c r="H466">
        <v>288.02999899999998</v>
      </c>
      <c r="I466">
        <f t="shared" si="30"/>
        <v>-1.9599910000000023</v>
      </c>
      <c r="J466">
        <v>4062400</v>
      </c>
      <c r="K466">
        <v>-8.5020242914979699E-2</v>
      </c>
      <c r="L466">
        <v>-21</v>
      </c>
      <c r="M466">
        <f t="shared" si="31"/>
        <v>-6.7588229510956652E-3</v>
      </c>
      <c r="N466">
        <v>247</v>
      </c>
    </row>
    <row r="467" spans="1:14" x14ac:dyDescent="0.25">
      <c r="A467" s="1">
        <v>43775</v>
      </c>
      <c r="B467" s="1">
        <f t="shared" si="28"/>
        <v>2019</v>
      </c>
      <c r="C467" s="1" t="str">
        <f t="shared" si="29"/>
        <v>Nov</v>
      </c>
      <c r="D467">
        <v>288.19000199999999</v>
      </c>
      <c r="E467">
        <v>290.55999800000001</v>
      </c>
      <c r="F467">
        <v>285.83999599999999</v>
      </c>
      <c r="G467">
        <v>288.58999599999999</v>
      </c>
      <c r="H467">
        <v>288.58999599999999</v>
      </c>
      <c r="I467">
        <f t="shared" si="30"/>
        <v>0.39999399999999241</v>
      </c>
      <c r="J467">
        <v>3438300</v>
      </c>
      <c r="K467">
        <v>-6.4846416382252497E-2</v>
      </c>
      <c r="L467">
        <v>-19</v>
      </c>
      <c r="M467">
        <f t="shared" si="31"/>
        <v>1.3879523828865944E-3</v>
      </c>
      <c r="N467">
        <v>293</v>
      </c>
    </row>
    <row r="468" spans="1:14" x14ac:dyDescent="0.25">
      <c r="A468" s="1">
        <v>43776</v>
      </c>
      <c r="B468" s="1">
        <f t="shared" si="28"/>
        <v>2019</v>
      </c>
      <c r="C468" s="1" t="str">
        <f t="shared" si="29"/>
        <v>Nov</v>
      </c>
      <c r="D468">
        <v>290.70001200000002</v>
      </c>
      <c r="E468">
        <v>298.19000199999999</v>
      </c>
      <c r="F468">
        <v>288.26998900000001</v>
      </c>
      <c r="G468">
        <v>289.57000699999998</v>
      </c>
      <c r="H468">
        <v>289.57000699999998</v>
      </c>
      <c r="I468">
        <f t="shared" si="30"/>
        <v>-1.1300050000000397</v>
      </c>
      <c r="J468">
        <v>5928500</v>
      </c>
      <c r="K468">
        <v>-0.12980769230769201</v>
      </c>
      <c r="L468">
        <v>-54</v>
      </c>
      <c r="M468">
        <f t="shared" si="31"/>
        <v>-3.8871859420495643E-3</v>
      </c>
      <c r="N468">
        <v>416</v>
      </c>
    </row>
    <row r="469" spans="1:14" x14ac:dyDescent="0.25">
      <c r="A469" s="1">
        <v>43777</v>
      </c>
      <c r="B469" s="1">
        <f t="shared" si="28"/>
        <v>2019</v>
      </c>
      <c r="C469" s="1" t="str">
        <f t="shared" si="29"/>
        <v>Nov</v>
      </c>
      <c r="D469">
        <v>288.73001099999999</v>
      </c>
      <c r="E469">
        <v>293.98998999999998</v>
      </c>
      <c r="F469">
        <v>287.51001000000002</v>
      </c>
      <c r="G469">
        <v>291.57000699999998</v>
      </c>
      <c r="H469">
        <v>291.57000699999998</v>
      </c>
      <c r="I469">
        <f t="shared" si="30"/>
        <v>2.8399959999999851</v>
      </c>
      <c r="J469">
        <v>4509000</v>
      </c>
      <c r="K469">
        <v>-0.123711340206185</v>
      </c>
      <c r="L469">
        <v>-36</v>
      </c>
      <c r="M469">
        <f t="shared" si="31"/>
        <v>9.8361649007798688E-3</v>
      </c>
      <c r="N469">
        <v>291</v>
      </c>
    </row>
    <row r="470" spans="1:14" x14ac:dyDescent="0.25">
      <c r="A470" s="1">
        <v>43780</v>
      </c>
      <c r="B470" s="1">
        <f t="shared" si="28"/>
        <v>2019</v>
      </c>
      <c r="C470" s="1" t="str">
        <f t="shared" si="29"/>
        <v>Nov</v>
      </c>
      <c r="D470">
        <v>289.16000400000001</v>
      </c>
      <c r="E470">
        <v>296.35998499999999</v>
      </c>
      <c r="F470">
        <v>288.5</v>
      </c>
      <c r="G470">
        <v>294.17999300000002</v>
      </c>
      <c r="H470">
        <v>294.17999300000002</v>
      </c>
      <c r="I470">
        <f t="shared" si="30"/>
        <v>5.0199890000000096</v>
      </c>
      <c r="J470">
        <v>3944300</v>
      </c>
      <c r="K470">
        <v>-0.10126582278481</v>
      </c>
      <c r="L470">
        <v>-24</v>
      </c>
      <c r="M470">
        <f t="shared" si="31"/>
        <v>1.7360592511265871E-2</v>
      </c>
      <c r="N470">
        <v>237</v>
      </c>
    </row>
    <row r="471" spans="1:14" x14ac:dyDescent="0.25">
      <c r="A471" s="1">
        <v>43781</v>
      </c>
      <c r="B471" s="1">
        <f t="shared" si="28"/>
        <v>2019</v>
      </c>
      <c r="C471" s="1" t="str">
        <f t="shared" si="29"/>
        <v>Nov</v>
      </c>
      <c r="D471">
        <v>295.32000699999998</v>
      </c>
      <c r="E471">
        <v>295.35000600000001</v>
      </c>
      <c r="F471">
        <v>288.70001200000002</v>
      </c>
      <c r="G471">
        <v>292.01001000000002</v>
      </c>
      <c r="H471">
        <v>292.01001000000002</v>
      </c>
      <c r="I471">
        <f t="shared" si="30"/>
        <v>-3.309996999999953</v>
      </c>
      <c r="J471">
        <v>5772800</v>
      </c>
      <c r="K471">
        <v>-5.0108932461873597E-2</v>
      </c>
      <c r="L471">
        <v>-23</v>
      </c>
      <c r="M471">
        <f t="shared" si="31"/>
        <v>-1.1208170532110116E-2</v>
      </c>
      <c r="N471">
        <v>459</v>
      </c>
    </row>
    <row r="472" spans="1:14" x14ac:dyDescent="0.25">
      <c r="A472" s="1">
        <v>43782</v>
      </c>
      <c r="B472" s="1">
        <f t="shared" si="28"/>
        <v>2019</v>
      </c>
      <c r="C472" s="1" t="str">
        <f t="shared" si="29"/>
        <v>Nov</v>
      </c>
      <c r="D472">
        <v>291.02999899999998</v>
      </c>
      <c r="E472">
        <v>293.41000400000001</v>
      </c>
      <c r="F472">
        <v>281.14001500000001</v>
      </c>
      <c r="G472">
        <v>283.10998499999999</v>
      </c>
      <c r="H472">
        <v>283.10998499999999</v>
      </c>
      <c r="I472">
        <f t="shared" si="30"/>
        <v>-7.9200139999999806</v>
      </c>
      <c r="J472">
        <v>9158900</v>
      </c>
      <c r="K472">
        <v>-0.12012987012987</v>
      </c>
      <c r="L472">
        <v>-74</v>
      </c>
      <c r="M472">
        <f t="shared" si="31"/>
        <v>-2.7213737508895025E-2</v>
      </c>
      <c r="N472">
        <v>616</v>
      </c>
    </row>
    <row r="473" spans="1:14" x14ac:dyDescent="0.25">
      <c r="A473" s="1">
        <v>43783</v>
      </c>
      <c r="B473" s="1">
        <f t="shared" si="28"/>
        <v>2019</v>
      </c>
      <c r="C473" s="1" t="str">
        <f t="shared" si="29"/>
        <v>Nov</v>
      </c>
      <c r="D473">
        <v>283.25</v>
      </c>
      <c r="E473">
        <v>290.63000499999998</v>
      </c>
      <c r="F473">
        <v>283.22000100000002</v>
      </c>
      <c r="G473">
        <v>289.61999500000002</v>
      </c>
      <c r="H473">
        <v>289.61999500000002</v>
      </c>
      <c r="I473">
        <f t="shared" si="30"/>
        <v>6.3699950000000172</v>
      </c>
      <c r="J473">
        <v>6529000</v>
      </c>
      <c r="K473">
        <v>-0.13938053097345099</v>
      </c>
      <c r="L473">
        <v>-63</v>
      </c>
      <c r="M473">
        <f t="shared" si="31"/>
        <v>2.2488949691085672E-2</v>
      </c>
      <c r="N473">
        <v>452</v>
      </c>
    </row>
    <row r="474" spans="1:14" x14ac:dyDescent="0.25">
      <c r="A474" s="1">
        <v>43784</v>
      </c>
      <c r="B474" s="1">
        <f t="shared" si="28"/>
        <v>2019</v>
      </c>
      <c r="C474" s="1" t="str">
        <f t="shared" si="29"/>
        <v>Nov</v>
      </c>
      <c r="D474">
        <v>290.58999599999999</v>
      </c>
      <c r="E474">
        <v>295.82000699999998</v>
      </c>
      <c r="F474">
        <v>287.57000699999998</v>
      </c>
      <c r="G474">
        <v>295.02999899999998</v>
      </c>
      <c r="H474">
        <v>295.02999899999998</v>
      </c>
      <c r="I474">
        <f t="shared" si="30"/>
        <v>4.4400029999999902</v>
      </c>
      <c r="J474">
        <v>6333800</v>
      </c>
      <c r="K474">
        <v>-3.56164383561643E-2</v>
      </c>
      <c r="L474">
        <v>-13</v>
      </c>
      <c r="M474">
        <f t="shared" si="31"/>
        <v>1.5279269971840292E-2</v>
      </c>
      <c r="N474">
        <v>365</v>
      </c>
    </row>
    <row r="475" spans="1:14" x14ac:dyDescent="0.25">
      <c r="A475" s="1">
        <v>43787</v>
      </c>
      <c r="B475" s="1">
        <f t="shared" si="28"/>
        <v>2019</v>
      </c>
      <c r="C475" s="1" t="str">
        <f t="shared" si="29"/>
        <v>Nov</v>
      </c>
      <c r="D475">
        <v>296</v>
      </c>
      <c r="E475">
        <v>304.98998999999998</v>
      </c>
      <c r="F475">
        <v>293.27999899999998</v>
      </c>
      <c r="G475">
        <v>302.57000699999998</v>
      </c>
      <c r="H475">
        <v>302.57000699999998</v>
      </c>
      <c r="I475">
        <f t="shared" si="30"/>
        <v>6.5700069999999755</v>
      </c>
      <c r="J475">
        <v>8616600</v>
      </c>
      <c r="K475">
        <v>-1.9762845849802299E-2</v>
      </c>
      <c r="L475">
        <v>-10</v>
      </c>
      <c r="M475">
        <f t="shared" si="31"/>
        <v>2.2195969594594512E-2</v>
      </c>
      <c r="N475">
        <v>506</v>
      </c>
    </row>
    <row r="476" spans="1:14" x14ac:dyDescent="0.25">
      <c r="A476" s="1">
        <v>43788</v>
      </c>
      <c r="B476" s="1">
        <f t="shared" si="28"/>
        <v>2019</v>
      </c>
      <c r="C476" s="1" t="str">
        <f t="shared" si="29"/>
        <v>Nov</v>
      </c>
      <c r="D476">
        <v>304.01001000000002</v>
      </c>
      <c r="E476">
        <v>305.67001299999998</v>
      </c>
      <c r="F476">
        <v>298.51998900000001</v>
      </c>
      <c r="G476">
        <v>302.60000600000001</v>
      </c>
      <c r="H476">
        <v>302.60000600000001</v>
      </c>
      <c r="I476">
        <f t="shared" si="30"/>
        <v>-1.4100040000000149</v>
      </c>
      <c r="J476">
        <v>5918000</v>
      </c>
      <c r="K476">
        <v>-7.85714285714285E-2</v>
      </c>
      <c r="L476">
        <v>-33</v>
      </c>
      <c r="M476">
        <f t="shared" si="31"/>
        <v>-4.6380183336726805E-3</v>
      </c>
      <c r="N476">
        <v>420</v>
      </c>
    </row>
    <row r="477" spans="1:14" x14ac:dyDescent="0.25">
      <c r="A477" s="1">
        <v>43789</v>
      </c>
      <c r="B477" s="1">
        <f t="shared" si="28"/>
        <v>2019</v>
      </c>
      <c r="C477" s="1" t="str">
        <f t="shared" si="29"/>
        <v>Nov</v>
      </c>
      <c r="D477">
        <v>301.01001000000002</v>
      </c>
      <c r="E477">
        <v>308.25</v>
      </c>
      <c r="F477">
        <v>301</v>
      </c>
      <c r="G477">
        <v>305.16000400000001</v>
      </c>
      <c r="H477">
        <v>305.16000400000001</v>
      </c>
      <c r="I477">
        <f t="shared" si="30"/>
        <v>4.1499939999999924</v>
      </c>
      <c r="J477">
        <v>5111800</v>
      </c>
      <c r="K477">
        <v>-6.7357512953367796E-2</v>
      </c>
      <c r="L477">
        <v>-26</v>
      </c>
      <c r="M477">
        <f t="shared" si="31"/>
        <v>1.3786896987246345E-2</v>
      </c>
      <c r="N477">
        <v>386</v>
      </c>
    </row>
    <row r="478" spans="1:14" x14ac:dyDescent="0.25">
      <c r="A478" s="1">
        <v>43790</v>
      </c>
      <c r="B478" s="1">
        <f t="shared" si="28"/>
        <v>2019</v>
      </c>
      <c r="C478" s="1" t="str">
        <f t="shared" si="29"/>
        <v>Nov</v>
      </c>
      <c r="D478">
        <v>306</v>
      </c>
      <c r="E478">
        <v>312.69000199999999</v>
      </c>
      <c r="F478">
        <v>304.26001000000002</v>
      </c>
      <c r="G478">
        <v>311.69000199999999</v>
      </c>
      <c r="H478">
        <v>311.69000199999999</v>
      </c>
      <c r="I478">
        <f t="shared" si="30"/>
        <v>5.6900019999999927</v>
      </c>
      <c r="J478">
        <v>7488400</v>
      </c>
      <c r="K478">
        <v>-9.8360655737704902E-2</v>
      </c>
      <c r="L478">
        <v>-42</v>
      </c>
      <c r="M478">
        <f t="shared" si="31"/>
        <v>1.8594777777777755E-2</v>
      </c>
      <c r="N478">
        <v>427</v>
      </c>
    </row>
    <row r="479" spans="1:14" x14ac:dyDescent="0.25">
      <c r="A479" s="1">
        <v>43791</v>
      </c>
      <c r="B479" s="1">
        <f t="shared" si="28"/>
        <v>2019</v>
      </c>
      <c r="C479" s="1" t="str">
        <f t="shared" si="29"/>
        <v>Nov</v>
      </c>
      <c r="D479">
        <v>309.10000600000001</v>
      </c>
      <c r="E479">
        <v>311.39999399999999</v>
      </c>
      <c r="F479">
        <v>304.41000400000001</v>
      </c>
      <c r="G479">
        <v>310.48001099999999</v>
      </c>
      <c r="H479">
        <v>310.48001099999999</v>
      </c>
      <c r="I479">
        <f t="shared" si="30"/>
        <v>1.3800049999999828</v>
      </c>
      <c r="J479">
        <v>5970100</v>
      </c>
      <c r="K479">
        <v>-2.15827338129496E-2</v>
      </c>
      <c r="L479">
        <v>-6</v>
      </c>
      <c r="M479">
        <f t="shared" si="31"/>
        <v>4.4645906606678703E-3</v>
      </c>
      <c r="N479">
        <v>278</v>
      </c>
    </row>
    <row r="480" spans="1:14" x14ac:dyDescent="0.25">
      <c r="A480" s="1">
        <v>43794</v>
      </c>
      <c r="B480" s="1">
        <f t="shared" si="28"/>
        <v>2019</v>
      </c>
      <c r="C480" s="1" t="str">
        <f t="shared" si="29"/>
        <v>Nov</v>
      </c>
      <c r="D480">
        <v>308.82998700000002</v>
      </c>
      <c r="E480">
        <v>315.73001099999999</v>
      </c>
      <c r="F480">
        <v>305.25</v>
      </c>
      <c r="G480">
        <v>315.54998799999998</v>
      </c>
      <c r="H480">
        <v>315.54998799999998</v>
      </c>
      <c r="I480">
        <f t="shared" si="30"/>
        <v>6.7200009999999679</v>
      </c>
      <c r="J480">
        <v>7873900</v>
      </c>
      <c r="K480">
        <v>-0.10062893081761</v>
      </c>
      <c r="L480">
        <v>-48</v>
      </c>
      <c r="M480">
        <f t="shared" si="31"/>
        <v>2.1759548239724428E-2</v>
      </c>
      <c r="N480">
        <v>477</v>
      </c>
    </row>
    <row r="481" spans="1:14" x14ac:dyDescent="0.25">
      <c r="A481" s="1">
        <v>43795</v>
      </c>
      <c r="B481" s="1">
        <f t="shared" si="28"/>
        <v>2019</v>
      </c>
      <c r="C481" s="1" t="str">
        <f t="shared" si="29"/>
        <v>Nov</v>
      </c>
      <c r="D481">
        <v>315</v>
      </c>
      <c r="E481">
        <v>316.5</v>
      </c>
      <c r="F481">
        <v>311.69000199999999</v>
      </c>
      <c r="G481">
        <v>312.48998999999998</v>
      </c>
      <c r="H481">
        <v>312.48998999999998</v>
      </c>
      <c r="I481">
        <f t="shared" si="30"/>
        <v>-2.5100100000000225</v>
      </c>
      <c r="J481">
        <v>5321000</v>
      </c>
      <c r="K481">
        <v>-5.6022408963585402E-2</v>
      </c>
      <c r="L481">
        <v>-20</v>
      </c>
      <c r="M481">
        <f t="shared" si="31"/>
        <v>-7.9682857142857853E-3</v>
      </c>
      <c r="N481">
        <v>357</v>
      </c>
    </row>
    <row r="482" spans="1:14" x14ac:dyDescent="0.25">
      <c r="A482" s="1">
        <v>43796</v>
      </c>
      <c r="B482" s="1">
        <f t="shared" si="28"/>
        <v>2019</v>
      </c>
      <c r="C482" s="1" t="str">
        <f t="shared" si="29"/>
        <v>Nov</v>
      </c>
      <c r="D482">
        <v>313.92999300000002</v>
      </c>
      <c r="E482">
        <v>316.82000699999998</v>
      </c>
      <c r="F482">
        <v>312.75</v>
      </c>
      <c r="G482">
        <v>315.92999300000002</v>
      </c>
      <c r="H482">
        <v>315.92999300000002</v>
      </c>
      <c r="I482">
        <f t="shared" si="30"/>
        <v>2</v>
      </c>
      <c r="J482">
        <v>4096900</v>
      </c>
      <c r="K482">
        <v>-0.14705882352941099</v>
      </c>
      <c r="L482">
        <v>-45</v>
      </c>
      <c r="M482">
        <f t="shared" si="31"/>
        <v>6.3708471461661198E-3</v>
      </c>
      <c r="N482">
        <v>306</v>
      </c>
    </row>
    <row r="483" spans="1:14" x14ac:dyDescent="0.25">
      <c r="A483" s="1">
        <v>43798</v>
      </c>
      <c r="B483" s="1">
        <f t="shared" si="28"/>
        <v>2019</v>
      </c>
      <c r="C483" s="1" t="str">
        <f t="shared" si="29"/>
        <v>Nov</v>
      </c>
      <c r="D483">
        <v>315.77999899999998</v>
      </c>
      <c r="E483">
        <v>316.61999500000002</v>
      </c>
      <c r="F483">
        <v>313.33999599999999</v>
      </c>
      <c r="G483">
        <v>314.66000400000001</v>
      </c>
      <c r="H483">
        <v>314.66000400000001</v>
      </c>
      <c r="I483">
        <f t="shared" si="30"/>
        <v>-1.1199949999999603</v>
      </c>
      <c r="J483">
        <v>2411700</v>
      </c>
      <c r="K483">
        <v>-0.10404624277456601</v>
      </c>
      <c r="L483">
        <v>-18</v>
      </c>
      <c r="M483">
        <f t="shared" si="31"/>
        <v>-3.5467572472820245E-3</v>
      </c>
      <c r="N483">
        <v>173</v>
      </c>
    </row>
    <row r="484" spans="1:14" x14ac:dyDescent="0.25">
      <c r="A484" s="1">
        <v>43801</v>
      </c>
      <c r="B484" s="1">
        <f t="shared" si="28"/>
        <v>2019</v>
      </c>
      <c r="C484" s="1" t="str">
        <f t="shared" si="29"/>
        <v>Dec</v>
      </c>
      <c r="D484">
        <v>314.39001500000001</v>
      </c>
      <c r="E484">
        <v>314.39001500000001</v>
      </c>
      <c r="F484">
        <v>303.75</v>
      </c>
      <c r="G484">
        <v>309.98998999999998</v>
      </c>
      <c r="H484">
        <v>309.98998999999998</v>
      </c>
      <c r="I484">
        <f t="shared" si="30"/>
        <v>-4.4000250000000278</v>
      </c>
      <c r="J484">
        <v>6218800</v>
      </c>
      <c r="K484">
        <v>-0.1</v>
      </c>
      <c r="L484">
        <v>-33</v>
      </c>
      <c r="M484">
        <f t="shared" si="31"/>
        <v>-1.3995434937715906E-2</v>
      </c>
      <c r="N484">
        <v>330</v>
      </c>
    </row>
    <row r="485" spans="1:14" x14ac:dyDescent="0.25">
      <c r="A485" s="1">
        <v>43802</v>
      </c>
      <c r="B485" s="1">
        <f t="shared" si="28"/>
        <v>2019</v>
      </c>
      <c r="C485" s="1" t="str">
        <f t="shared" si="29"/>
        <v>Dec</v>
      </c>
      <c r="D485">
        <v>302.22000100000002</v>
      </c>
      <c r="E485">
        <v>307.35998499999999</v>
      </c>
      <c r="F485">
        <v>301.88000499999998</v>
      </c>
      <c r="G485">
        <v>306.16000400000001</v>
      </c>
      <c r="H485">
        <v>306.16000400000001</v>
      </c>
      <c r="I485">
        <f t="shared" si="30"/>
        <v>3.9400029999999902</v>
      </c>
      <c r="J485">
        <v>4992800</v>
      </c>
      <c r="K485">
        <v>-0.103305785123966</v>
      </c>
      <c r="L485">
        <v>-25</v>
      </c>
      <c r="M485">
        <f t="shared" si="31"/>
        <v>1.3036870448557737E-2</v>
      </c>
      <c r="N485">
        <v>242</v>
      </c>
    </row>
    <row r="486" spans="1:14" x14ac:dyDescent="0.25">
      <c r="A486" s="1">
        <v>43803</v>
      </c>
      <c r="B486" s="1">
        <f t="shared" si="28"/>
        <v>2019</v>
      </c>
      <c r="C486" s="1" t="str">
        <f t="shared" si="29"/>
        <v>Dec</v>
      </c>
      <c r="D486">
        <v>308.42999300000002</v>
      </c>
      <c r="E486">
        <v>308.42999300000002</v>
      </c>
      <c r="F486">
        <v>303.26998900000001</v>
      </c>
      <c r="G486">
        <v>304.32000699999998</v>
      </c>
      <c r="H486">
        <v>304.32000699999998</v>
      </c>
      <c r="I486">
        <f t="shared" si="30"/>
        <v>-4.109986000000049</v>
      </c>
      <c r="J486">
        <v>3512100</v>
      </c>
      <c r="K486">
        <v>-7.0707070707070704E-2</v>
      </c>
      <c r="L486">
        <v>-14</v>
      </c>
      <c r="M486">
        <f t="shared" si="31"/>
        <v>-1.3325506900361822E-2</v>
      </c>
      <c r="N486">
        <v>198</v>
      </c>
    </row>
    <row r="487" spans="1:14" x14ac:dyDescent="0.25">
      <c r="A487" s="1">
        <v>43804</v>
      </c>
      <c r="B487" s="1">
        <f t="shared" si="28"/>
        <v>2019</v>
      </c>
      <c r="C487" s="1" t="str">
        <f t="shared" si="29"/>
        <v>Dec</v>
      </c>
      <c r="D487">
        <v>305.26998900000001</v>
      </c>
      <c r="E487">
        <v>306.48001099999999</v>
      </c>
      <c r="F487">
        <v>298.80999800000001</v>
      </c>
      <c r="G487">
        <v>302.85998499999999</v>
      </c>
      <c r="H487">
        <v>302.85998499999999</v>
      </c>
      <c r="I487">
        <f t="shared" si="30"/>
        <v>-2.4100040000000149</v>
      </c>
      <c r="J487">
        <v>4615500</v>
      </c>
      <c r="K487">
        <v>-0.125523012552301</v>
      </c>
      <c r="L487">
        <v>-30</v>
      </c>
      <c r="M487">
        <f t="shared" si="31"/>
        <v>-7.894664024769283E-3</v>
      </c>
      <c r="N487">
        <v>239</v>
      </c>
    </row>
    <row r="488" spans="1:14" x14ac:dyDescent="0.25">
      <c r="A488" s="1">
        <v>43805</v>
      </c>
      <c r="B488" s="1">
        <f t="shared" si="28"/>
        <v>2019</v>
      </c>
      <c r="C488" s="1" t="str">
        <f t="shared" si="29"/>
        <v>Dec</v>
      </c>
      <c r="D488">
        <v>304.70001200000002</v>
      </c>
      <c r="E488">
        <v>307.85000600000001</v>
      </c>
      <c r="F488">
        <v>302.60000600000001</v>
      </c>
      <c r="G488">
        <v>307.35000600000001</v>
      </c>
      <c r="H488">
        <v>307.35000600000001</v>
      </c>
      <c r="I488">
        <f t="shared" si="30"/>
        <v>2.6499939999999924</v>
      </c>
      <c r="J488">
        <v>4457800</v>
      </c>
      <c r="K488">
        <v>-8.7121212121212099E-2</v>
      </c>
      <c r="L488">
        <v>-23</v>
      </c>
      <c r="M488">
        <f t="shared" si="31"/>
        <v>8.6970590601748721E-3</v>
      </c>
      <c r="N488">
        <v>264</v>
      </c>
    </row>
    <row r="489" spans="1:14" x14ac:dyDescent="0.25">
      <c r="A489" s="1">
        <v>43808</v>
      </c>
      <c r="B489" s="1">
        <f t="shared" si="28"/>
        <v>2019</v>
      </c>
      <c r="C489" s="1" t="str">
        <f t="shared" si="29"/>
        <v>Dec</v>
      </c>
      <c r="D489">
        <v>307.35000600000001</v>
      </c>
      <c r="E489">
        <v>311.48998999999998</v>
      </c>
      <c r="F489">
        <v>302.44000199999999</v>
      </c>
      <c r="G489">
        <v>302.5</v>
      </c>
      <c r="H489">
        <v>302.5</v>
      </c>
      <c r="I489">
        <f t="shared" si="30"/>
        <v>-4.8500060000000076</v>
      </c>
      <c r="J489">
        <v>5748400</v>
      </c>
      <c r="K489">
        <v>-4.5901639344262203E-2</v>
      </c>
      <c r="L489">
        <v>-14</v>
      </c>
      <c r="M489">
        <f t="shared" si="31"/>
        <v>-1.5780074525197852E-2</v>
      </c>
      <c r="N489">
        <v>305</v>
      </c>
    </row>
    <row r="490" spans="1:14" x14ac:dyDescent="0.25">
      <c r="A490" s="1">
        <v>43809</v>
      </c>
      <c r="B490" s="1">
        <f t="shared" si="28"/>
        <v>2019</v>
      </c>
      <c r="C490" s="1" t="str">
        <f t="shared" si="29"/>
        <v>Dec</v>
      </c>
      <c r="D490">
        <v>296.11999500000002</v>
      </c>
      <c r="E490">
        <v>298.94000199999999</v>
      </c>
      <c r="F490">
        <v>292.01998900000001</v>
      </c>
      <c r="G490">
        <v>293.11999500000002</v>
      </c>
      <c r="H490">
        <v>293.11999500000002</v>
      </c>
      <c r="I490">
        <f t="shared" si="30"/>
        <v>-3</v>
      </c>
      <c r="J490">
        <v>10476100</v>
      </c>
      <c r="K490">
        <v>-0.16718266253869901</v>
      </c>
      <c r="L490">
        <v>-108</v>
      </c>
      <c r="M490">
        <f t="shared" si="31"/>
        <v>-1.0131028132700056E-2</v>
      </c>
      <c r="N490">
        <v>646</v>
      </c>
    </row>
    <row r="491" spans="1:14" x14ac:dyDescent="0.25">
      <c r="A491" s="1">
        <v>43810</v>
      </c>
      <c r="B491" s="1">
        <f t="shared" si="28"/>
        <v>2019</v>
      </c>
      <c r="C491" s="1" t="str">
        <f t="shared" si="29"/>
        <v>Dec</v>
      </c>
      <c r="D491">
        <v>294.48998999999998</v>
      </c>
      <c r="E491">
        <v>299.42999300000002</v>
      </c>
      <c r="F491">
        <v>294.20001200000002</v>
      </c>
      <c r="G491">
        <v>298.92999300000002</v>
      </c>
      <c r="H491">
        <v>298.92999300000002</v>
      </c>
      <c r="I491">
        <f t="shared" si="30"/>
        <v>4.440003000000047</v>
      </c>
      <c r="J491">
        <v>5589800</v>
      </c>
      <c r="K491">
        <v>-0.135523613963039</v>
      </c>
      <c r="L491">
        <v>-66</v>
      </c>
      <c r="M491">
        <f t="shared" si="31"/>
        <v>1.5076923327682708E-2</v>
      </c>
      <c r="N491">
        <v>487</v>
      </c>
    </row>
    <row r="492" spans="1:14" x14ac:dyDescent="0.25">
      <c r="A492" s="1">
        <v>43811</v>
      </c>
      <c r="B492" s="1">
        <f t="shared" si="28"/>
        <v>2019</v>
      </c>
      <c r="C492" s="1" t="str">
        <f t="shared" si="29"/>
        <v>Dec</v>
      </c>
      <c r="D492">
        <v>295.67001299999998</v>
      </c>
      <c r="E492">
        <v>299.17001299999998</v>
      </c>
      <c r="F492">
        <v>295.05999800000001</v>
      </c>
      <c r="G492">
        <v>298.44000199999999</v>
      </c>
      <c r="H492">
        <v>298.44000199999999</v>
      </c>
      <c r="I492">
        <f t="shared" si="30"/>
        <v>2.7699890000000096</v>
      </c>
      <c r="J492">
        <v>4766600</v>
      </c>
      <c r="K492">
        <v>-9.9071207430340494E-2</v>
      </c>
      <c r="L492">
        <v>-32</v>
      </c>
      <c r="M492">
        <f t="shared" si="31"/>
        <v>9.3685151628819727E-3</v>
      </c>
      <c r="N492">
        <v>323</v>
      </c>
    </row>
    <row r="493" spans="1:14" x14ac:dyDescent="0.25">
      <c r="A493" s="1">
        <v>43812</v>
      </c>
      <c r="B493" s="1">
        <f t="shared" si="28"/>
        <v>2019</v>
      </c>
      <c r="C493" s="1" t="str">
        <f t="shared" si="29"/>
        <v>Dec</v>
      </c>
      <c r="D493">
        <v>298.5</v>
      </c>
      <c r="E493">
        <v>301.79998799999998</v>
      </c>
      <c r="F493">
        <v>297.25</v>
      </c>
      <c r="G493">
        <v>298.5</v>
      </c>
      <c r="H493">
        <v>298.5</v>
      </c>
      <c r="I493">
        <f t="shared" si="30"/>
        <v>0</v>
      </c>
      <c r="J493">
        <v>3879700</v>
      </c>
      <c r="K493">
        <v>-5.9288537549407098E-2</v>
      </c>
      <c r="L493">
        <v>-15</v>
      </c>
      <c r="M493">
        <f t="shared" si="31"/>
        <v>0</v>
      </c>
      <c r="N493">
        <v>253</v>
      </c>
    </row>
    <row r="494" spans="1:14" x14ac:dyDescent="0.25">
      <c r="A494" s="1">
        <v>43815</v>
      </c>
      <c r="B494" s="1">
        <f t="shared" si="28"/>
        <v>2019</v>
      </c>
      <c r="C494" s="1" t="str">
        <f t="shared" si="29"/>
        <v>Dec</v>
      </c>
      <c r="D494">
        <v>300.85000600000001</v>
      </c>
      <c r="E494">
        <v>305.709991</v>
      </c>
      <c r="F494">
        <v>298.63000499999998</v>
      </c>
      <c r="G494">
        <v>304.209991</v>
      </c>
      <c r="H494">
        <v>304.209991</v>
      </c>
      <c r="I494">
        <f t="shared" si="30"/>
        <v>3.3599849999999947</v>
      </c>
      <c r="J494">
        <v>4658900</v>
      </c>
      <c r="K494">
        <v>-2.9702970297029702E-2</v>
      </c>
      <c r="L494">
        <v>-9</v>
      </c>
      <c r="M494">
        <f t="shared" si="31"/>
        <v>1.1168306242280728E-2</v>
      </c>
      <c r="N494">
        <v>303</v>
      </c>
    </row>
    <row r="495" spans="1:14" x14ac:dyDescent="0.25">
      <c r="A495" s="1">
        <v>43816</v>
      </c>
      <c r="B495" s="1">
        <f t="shared" si="28"/>
        <v>2019</v>
      </c>
      <c r="C495" s="1" t="str">
        <f t="shared" si="29"/>
        <v>Dec</v>
      </c>
      <c r="D495">
        <v>307.35998499999999</v>
      </c>
      <c r="E495">
        <v>316.79998799999998</v>
      </c>
      <c r="F495">
        <v>306.60000600000001</v>
      </c>
      <c r="G495">
        <v>315.48001099999999</v>
      </c>
      <c r="H495">
        <v>315.48001099999999</v>
      </c>
      <c r="I495">
        <f t="shared" si="30"/>
        <v>8.1200259999999957</v>
      </c>
      <c r="J495">
        <v>10427100</v>
      </c>
      <c r="K495">
        <v>-1.6697588126159499E-2</v>
      </c>
      <c r="L495">
        <v>-9</v>
      </c>
      <c r="M495">
        <f t="shared" si="31"/>
        <v>2.6418617895234461E-2</v>
      </c>
      <c r="N495">
        <v>539</v>
      </c>
    </row>
    <row r="496" spans="1:14" x14ac:dyDescent="0.25">
      <c r="A496" s="1">
        <v>43817</v>
      </c>
      <c r="B496" s="1">
        <f t="shared" si="28"/>
        <v>2019</v>
      </c>
      <c r="C496" s="1" t="str">
        <f t="shared" si="29"/>
        <v>Dec</v>
      </c>
      <c r="D496">
        <v>316.26001000000002</v>
      </c>
      <c r="E496">
        <v>325.35998499999999</v>
      </c>
      <c r="F496">
        <v>315.60000600000001</v>
      </c>
      <c r="G496">
        <v>320.79998799999998</v>
      </c>
      <c r="H496">
        <v>320.79998799999998</v>
      </c>
      <c r="I496">
        <f t="shared" si="30"/>
        <v>4.5399779999999623</v>
      </c>
      <c r="J496">
        <v>11207400</v>
      </c>
      <c r="K496">
        <v>-5.2631578947368004E-3</v>
      </c>
      <c r="L496">
        <v>-3</v>
      </c>
      <c r="M496">
        <f t="shared" si="31"/>
        <v>1.4355207286561339E-2</v>
      </c>
      <c r="N496">
        <v>570</v>
      </c>
    </row>
    <row r="497" spans="1:14" x14ac:dyDescent="0.25">
      <c r="A497" s="1">
        <v>43818</v>
      </c>
      <c r="B497" s="1">
        <f t="shared" si="28"/>
        <v>2019</v>
      </c>
      <c r="C497" s="1" t="str">
        <f t="shared" si="29"/>
        <v>Dec</v>
      </c>
      <c r="D497">
        <v>324.5</v>
      </c>
      <c r="E497">
        <v>332.82998700000002</v>
      </c>
      <c r="F497">
        <v>324.17999300000002</v>
      </c>
      <c r="G497">
        <v>332.22000100000002</v>
      </c>
      <c r="H497">
        <v>332.22000100000002</v>
      </c>
      <c r="I497">
        <f t="shared" si="30"/>
        <v>7.7200010000000248</v>
      </c>
      <c r="J497">
        <v>9822300</v>
      </c>
      <c r="K497">
        <v>-1.0714285714285701E-2</v>
      </c>
      <c r="L497">
        <v>-6</v>
      </c>
      <c r="M497">
        <f t="shared" si="31"/>
        <v>2.3790449922958475E-2</v>
      </c>
      <c r="N497">
        <v>560</v>
      </c>
    </row>
    <row r="498" spans="1:14" x14ac:dyDescent="0.25">
      <c r="A498" s="1">
        <v>43819</v>
      </c>
      <c r="B498" s="1">
        <f t="shared" si="28"/>
        <v>2019</v>
      </c>
      <c r="C498" s="1" t="str">
        <f t="shared" si="29"/>
        <v>Dec</v>
      </c>
      <c r="D498">
        <v>335</v>
      </c>
      <c r="E498">
        <v>338</v>
      </c>
      <c r="F498">
        <v>330.60000600000001</v>
      </c>
      <c r="G498">
        <v>336.89999399999999</v>
      </c>
      <c r="H498">
        <v>336.89999399999999</v>
      </c>
      <c r="I498">
        <f t="shared" si="30"/>
        <v>1.8999939999999924</v>
      </c>
      <c r="J498">
        <v>9914900</v>
      </c>
      <c r="K498">
        <v>2.2075055187637002E-3</v>
      </c>
      <c r="L498">
        <v>1</v>
      </c>
      <c r="M498">
        <f t="shared" si="31"/>
        <v>5.6716238805969927E-3</v>
      </c>
      <c r="N498">
        <v>453</v>
      </c>
    </row>
    <row r="499" spans="1:14" x14ac:dyDescent="0.25">
      <c r="A499" s="1">
        <v>43822</v>
      </c>
      <c r="B499" s="1">
        <f t="shared" si="28"/>
        <v>2019</v>
      </c>
      <c r="C499" s="1" t="str">
        <f t="shared" si="29"/>
        <v>Dec</v>
      </c>
      <c r="D499">
        <v>337.76001000000002</v>
      </c>
      <c r="E499">
        <v>337.95001200000002</v>
      </c>
      <c r="F499">
        <v>331.01998900000001</v>
      </c>
      <c r="G499">
        <v>333.10000600000001</v>
      </c>
      <c r="H499">
        <v>333.10000600000001</v>
      </c>
      <c r="I499">
        <f t="shared" si="30"/>
        <v>-4.6600040000000149</v>
      </c>
      <c r="J499">
        <v>5765300</v>
      </c>
      <c r="K499">
        <v>-0.13496932515337401</v>
      </c>
      <c r="L499">
        <v>-44</v>
      </c>
      <c r="M499">
        <f t="shared" si="31"/>
        <v>-1.3796790212079916E-2</v>
      </c>
      <c r="N499">
        <v>326</v>
      </c>
    </row>
    <row r="500" spans="1:14" x14ac:dyDescent="0.25">
      <c r="A500" s="1">
        <v>43823</v>
      </c>
      <c r="B500" s="1">
        <f t="shared" si="28"/>
        <v>2019</v>
      </c>
      <c r="C500" s="1" t="str">
        <f t="shared" si="29"/>
        <v>Dec</v>
      </c>
      <c r="D500">
        <v>334.01001000000002</v>
      </c>
      <c r="E500">
        <v>335.70001200000002</v>
      </c>
      <c r="F500">
        <v>331.60000600000001</v>
      </c>
      <c r="G500">
        <v>333.20001200000002</v>
      </c>
      <c r="H500">
        <v>333.20001200000002</v>
      </c>
      <c r="I500">
        <f t="shared" si="30"/>
        <v>-0.80999800000000732</v>
      </c>
      <c r="J500">
        <v>2019300</v>
      </c>
      <c r="K500">
        <v>-4.4642857142857102E-2</v>
      </c>
      <c r="L500">
        <v>-10</v>
      </c>
      <c r="M500">
        <f t="shared" si="31"/>
        <v>-2.4250710330507978E-3</v>
      </c>
      <c r="N500">
        <v>224</v>
      </c>
    </row>
    <row r="501" spans="1:14" x14ac:dyDescent="0.25">
      <c r="A501" s="1">
        <v>43825</v>
      </c>
      <c r="B501" s="1">
        <f t="shared" si="28"/>
        <v>2019</v>
      </c>
      <c r="C501" s="1" t="str">
        <f t="shared" si="29"/>
        <v>Dec</v>
      </c>
      <c r="D501">
        <v>334.60000600000001</v>
      </c>
      <c r="E501">
        <v>336.459991</v>
      </c>
      <c r="F501">
        <v>332.01001000000002</v>
      </c>
      <c r="G501">
        <v>332.63000499999998</v>
      </c>
      <c r="H501">
        <v>332.63000499999998</v>
      </c>
      <c r="I501">
        <f t="shared" si="30"/>
        <v>-1.9700010000000248</v>
      </c>
      <c r="J501">
        <v>3589900</v>
      </c>
      <c r="K501">
        <v>-7.2727272727272696E-2</v>
      </c>
      <c r="L501">
        <v>-20</v>
      </c>
      <c r="M501">
        <f t="shared" si="31"/>
        <v>-5.8876299004012112E-3</v>
      </c>
      <c r="N501">
        <v>275</v>
      </c>
    </row>
    <row r="502" spans="1:14" x14ac:dyDescent="0.25">
      <c r="A502" s="1">
        <v>43826</v>
      </c>
      <c r="B502" s="1">
        <f t="shared" si="28"/>
        <v>2019</v>
      </c>
      <c r="C502" s="1" t="str">
        <f t="shared" si="29"/>
        <v>Dec</v>
      </c>
      <c r="D502">
        <v>332.959991</v>
      </c>
      <c r="E502">
        <v>333.82000699999998</v>
      </c>
      <c r="F502">
        <v>326.01001000000002</v>
      </c>
      <c r="G502">
        <v>329.08999599999999</v>
      </c>
      <c r="H502">
        <v>329.08999599999999</v>
      </c>
      <c r="I502">
        <f t="shared" si="30"/>
        <v>-3.8699950000000172</v>
      </c>
      <c r="J502">
        <v>5036100</v>
      </c>
      <c r="K502">
        <v>-3.125E-2</v>
      </c>
      <c r="L502">
        <v>-9</v>
      </c>
      <c r="M502">
        <f t="shared" si="31"/>
        <v>-1.1623003077267675E-2</v>
      </c>
      <c r="N502">
        <v>288</v>
      </c>
    </row>
    <row r="503" spans="1:14" x14ac:dyDescent="0.25">
      <c r="A503" s="1">
        <v>43829</v>
      </c>
      <c r="B503" s="1">
        <f t="shared" si="28"/>
        <v>2019</v>
      </c>
      <c r="C503" s="1" t="str">
        <f t="shared" si="29"/>
        <v>Dec</v>
      </c>
      <c r="D503">
        <v>329.07998700000002</v>
      </c>
      <c r="E503">
        <v>329.19000199999999</v>
      </c>
      <c r="F503">
        <v>322.85998499999999</v>
      </c>
      <c r="G503">
        <v>323.30999800000001</v>
      </c>
      <c r="H503">
        <v>323.30999800000001</v>
      </c>
      <c r="I503">
        <f t="shared" si="30"/>
        <v>-5.7699890000000096</v>
      </c>
      <c r="J503">
        <v>4311500</v>
      </c>
      <c r="K503">
        <v>-6.3063063063063002E-2</v>
      </c>
      <c r="L503">
        <v>-21</v>
      </c>
      <c r="M503">
        <f t="shared" si="31"/>
        <v>-1.7533697666032817E-2</v>
      </c>
      <c r="N503">
        <v>333</v>
      </c>
    </row>
    <row r="504" spans="1:14" x14ac:dyDescent="0.25">
      <c r="A504" s="1">
        <v>43830</v>
      </c>
      <c r="B504" s="1">
        <f t="shared" si="28"/>
        <v>2019</v>
      </c>
      <c r="C504" s="1" t="str">
        <f t="shared" si="29"/>
        <v>Dec</v>
      </c>
      <c r="D504">
        <v>322</v>
      </c>
      <c r="E504">
        <v>324.92001299999998</v>
      </c>
      <c r="F504">
        <v>321.08999599999999</v>
      </c>
      <c r="G504">
        <v>323.57000699999998</v>
      </c>
      <c r="H504">
        <v>323.57000699999998</v>
      </c>
      <c r="I504">
        <f t="shared" si="30"/>
        <v>1.5700069999999755</v>
      </c>
      <c r="J504">
        <v>3713300</v>
      </c>
      <c r="K504">
        <v>-6.95970695970696E-2</v>
      </c>
      <c r="L504">
        <v>-19</v>
      </c>
      <c r="M504">
        <f t="shared" si="31"/>
        <v>4.8757981366458871E-3</v>
      </c>
      <c r="N504">
        <v>273</v>
      </c>
    </row>
    <row r="505" spans="1:14" x14ac:dyDescent="0.25">
      <c r="A505" s="1">
        <v>43832</v>
      </c>
      <c r="B505" s="1">
        <f t="shared" si="28"/>
        <v>2020</v>
      </c>
      <c r="C505" s="1" t="str">
        <f t="shared" si="29"/>
        <v>Jan</v>
      </c>
      <c r="D505">
        <v>326.10000600000001</v>
      </c>
      <c r="E505">
        <v>329.98001099999999</v>
      </c>
      <c r="F505">
        <v>324.77999899999998</v>
      </c>
      <c r="G505">
        <v>329.80999800000001</v>
      </c>
      <c r="H505">
        <v>329.80999800000001</v>
      </c>
      <c r="I505">
        <f t="shared" si="30"/>
        <v>3.7099919999999997</v>
      </c>
      <c r="J505">
        <v>4485800</v>
      </c>
      <c r="K505">
        <v>-3.8348082595870199E-2</v>
      </c>
      <c r="L505">
        <v>-13</v>
      </c>
      <c r="M505">
        <f t="shared" si="31"/>
        <v>1.1376853516525233E-2</v>
      </c>
      <c r="N505">
        <v>339</v>
      </c>
    </row>
    <row r="506" spans="1:14" x14ac:dyDescent="0.25">
      <c r="A506" s="1">
        <v>43833</v>
      </c>
      <c r="B506" s="1">
        <f t="shared" si="28"/>
        <v>2020</v>
      </c>
      <c r="C506" s="1" t="str">
        <f t="shared" si="29"/>
        <v>Jan</v>
      </c>
      <c r="D506">
        <v>326.77999899999998</v>
      </c>
      <c r="E506">
        <v>329.85998499999999</v>
      </c>
      <c r="F506">
        <v>325.52999899999998</v>
      </c>
      <c r="G506">
        <v>325.89999399999999</v>
      </c>
      <c r="H506">
        <v>325.89999399999999</v>
      </c>
      <c r="I506">
        <f t="shared" si="30"/>
        <v>-0.88000499999998283</v>
      </c>
      <c r="J506">
        <v>3806900</v>
      </c>
      <c r="K506">
        <v>-0.15533980582524201</v>
      </c>
      <c r="L506">
        <v>-48</v>
      </c>
      <c r="M506">
        <f t="shared" si="31"/>
        <v>-2.6929585736365186E-3</v>
      </c>
      <c r="N506">
        <v>309</v>
      </c>
    </row>
    <row r="507" spans="1:14" x14ac:dyDescent="0.25">
      <c r="A507" s="1">
        <v>43836</v>
      </c>
      <c r="B507" s="1">
        <f t="shared" si="28"/>
        <v>2020</v>
      </c>
      <c r="C507" s="1" t="str">
        <f t="shared" si="29"/>
        <v>Jan</v>
      </c>
      <c r="D507">
        <v>323.11999500000002</v>
      </c>
      <c r="E507">
        <v>336.35998499999999</v>
      </c>
      <c r="F507">
        <v>321.20001200000002</v>
      </c>
      <c r="G507">
        <v>335.82998700000002</v>
      </c>
      <c r="H507">
        <v>335.82998700000002</v>
      </c>
      <c r="I507">
        <f t="shared" si="30"/>
        <v>12.709992</v>
      </c>
      <c r="J507">
        <v>5663100</v>
      </c>
      <c r="K507">
        <v>-2.94659300184162E-2</v>
      </c>
      <c r="L507">
        <v>-16</v>
      </c>
      <c r="M507">
        <f t="shared" si="31"/>
        <v>3.9335207343018187E-2</v>
      </c>
      <c r="N507">
        <v>543</v>
      </c>
    </row>
    <row r="508" spans="1:14" x14ac:dyDescent="0.25">
      <c r="A508" s="1">
        <v>43837</v>
      </c>
      <c r="B508" s="1">
        <f t="shared" si="28"/>
        <v>2020</v>
      </c>
      <c r="C508" s="1" t="str">
        <f t="shared" si="29"/>
        <v>Jan</v>
      </c>
      <c r="D508">
        <v>336.47000100000002</v>
      </c>
      <c r="E508">
        <v>336.70001200000002</v>
      </c>
      <c r="F508">
        <v>330.29998799999998</v>
      </c>
      <c r="G508">
        <v>330.75</v>
      </c>
      <c r="H508">
        <v>330.75</v>
      </c>
      <c r="I508">
        <f t="shared" si="30"/>
        <v>-5.7200010000000248</v>
      </c>
      <c r="J508">
        <v>4703200</v>
      </c>
      <c r="K508">
        <v>-4.9763033175355402E-2</v>
      </c>
      <c r="L508">
        <v>-21</v>
      </c>
      <c r="M508">
        <f t="shared" si="31"/>
        <v>-1.700003264184026E-2</v>
      </c>
      <c r="N508">
        <v>422</v>
      </c>
    </row>
    <row r="509" spans="1:14" x14ac:dyDescent="0.25">
      <c r="A509" s="1">
        <v>43838</v>
      </c>
      <c r="B509" s="1">
        <f t="shared" si="28"/>
        <v>2020</v>
      </c>
      <c r="C509" s="1" t="str">
        <f t="shared" si="29"/>
        <v>Jan</v>
      </c>
      <c r="D509">
        <v>331.48998999999998</v>
      </c>
      <c r="E509">
        <v>342.70001200000002</v>
      </c>
      <c r="F509">
        <v>331.04998799999998</v>
      </c>
      <c r="G509">
        <v>339.26001000000002</v>
      </c>
      <c r="H509">
        <v>339.26001000000002</v>
      </c>
      <c r="I509">
        <f t="shared" si="30"/>
        <v>7.770020000000045</v>
      </c>
      <c r="J509">
        <v>7104500</v>
      </c>
      <c r="K509">
        <v>-7.3852295409181604E-2</v>
      </c>
      <c r="L509">
        <v>-37</v>
      </c>
      <c r="M509">
        <f t="shared" si="31"/>
        <v>2.3439682145454967E-2</v>
      </c>
      <c r="N509">
        <v>501</v>
      </c>
    </row>
    <row r="510" spans="1:14" x14ac:dyDescent="0.25">
      <c r="A510" s="1">
        <v>43839</v>
      </c>
      <c r="B510" s="1">
        <f t="shared" si="28"/>
        <v>2020</v>
      </c>
      <c r="C510" s="1" t="str">
        <f t="shared" si="29"/>
        <v>Jan</v>
      </c>
      <c r="D510">
        <v>342</v>
      </c>
      <c r="E510">
        <v>343.42001299999998</v>
      </c>
      <c r="F510">
        <v>334.60998499999999</v>
      </c>
      <c r="G510">
        <v>335.66000400000001</v>
      </c>
      <c r="H510">
        <v>335.66000400000001</v>
      </c>
      <c r="I510">
        <f t="shared" si="30"/>
        <v>-6.3399959999999851</v>
      </c>
      <c r="J510">
        <v>4709300</v>
      </c>
      <c r="K510">
        <v>-7.9575596816976096E-2</v>
      </c>
      <c r="L510">
        <v>-30</v>
      </c>
      <c r="M510">
        <f t="shared" si="31"/>
        <v>-1.8537999999999957E-2</v>
      </c>
      <c r="N510">
        <v>377</v>
      </c>
    </row>
    <row r="511" spans="1:14" x14ac:dyDescent="0.25">
      <c r="A511" s="1">
        <v>43840</v>
      </c>
      <c r="B511" s="1">
        <f t="shared" si="28"/>
        <v>2020</v>
      </c>
      <c r="C511" s="1" t="str">
        <f t="shared" si="29"/>
        <v>Jan</v>
      </c>
      <c r="D511">
        <v>337.13000499999998</v>
      </c>
      <c r="E511">
        <v>338.5</v>
      </c>
      <c r="F511">
        <v>327.26998900000001</v>
      </c>
      <c r="G511">
        <v>329.04998799999998</v>
      </c>
      <c r="H511">
        <v>329.04998799999998</v>
      </c>
      <c r="I511">
        <f t="shared" si="30"/>
        <v>-8.080016999999998</v>
      </c>
      <c r="J511">
        <v>4718300</v>
      </c>
      <c r="K511">
        <v>-6.8027210884353706E-2</v>
      </c>
      <c r="L511">
        <v>-20</v>
      </c>
      <c r="M511">
        <f t="shared" si="31"/>
        <v>-2.3967065761470854E-2</v>
      </c>
      <c r="N511">
        <v>294</v>
      </c>
    </row>
    <row r="512" spans="1:14" x14ac:dyDescent="0.25">
      <c r="A512" s="1">
        <v>43843</v>
      </c>
      <c r="B512" s="1">
        <f t="shared" si="28"/>
        <v>2020</v>
      </c>
      <c r="C512" s="1" t="str">
        <f t="shared" si="29"/>
        <v>Jan</v>
      </c>
      <c r="D512">
        <v>331.79998799999998</v>
      </c>
      <c r="E512">
        <v>340.85000600000001</v>
      </c>
      <c r="F512">
        <v>331.51001000000002</v>
      </c>
      <c r="G512">
        <v>338.92001299999998</v>
      </c>
      <c r="H512">
        <v>338.92001299999998</v>
      </c>
      <c r="I512">
        <f t="shared" si="30"/>
        <v>7.1200249999999983</v>
      </c>
      <c r="J512">
        <v>6290000</v>
      </c>
      <c r="K512">
        <v>-4.0404040404040401E-2</v>
      </c>
      <c r="L512">
        <v>-16</v>
      </c>
      <c r="M512">
        <f t="shared" si="31"/>
        <v>2.1458786188985633E-2</v>
      </c>
      <c r="N512">
        <v>396</v>
      </c>
    </row>
    <row r="513" spans="1:14" x14ac:dyDescent="0.25">
      <c r="A513" s="1">
        <v>43844</v>
      </c>
      <c r="B513" s="1">
        <f t="shared" si="28"/>
        <v>2020</v>
      </c>
      <c r="C513" s="1" t="str">
        <f t="shared" si="29"/>
        <v>Jan</v>
      </c>
      <c r="D513">
        <v>344.39999399999999</v>
      </c>
      <c r="E513">
        <v>345.38000499999998</v>
      </c>
      <c r="F513">
        <v>335.51998900000001</v>
      </c>
      <c r="G513">
        <v>338.69000199999999</v>
      </c>
      <c r="H513">
        <v>338.69000199999999</v>
      </c>
      <c r="I513">
        <f t="shared" si="30"/>
        <v>-5.7099919999999997</v>
      </c>
      <c r="J513">
        <v>7199400</v>
      </c>
      <c r="K513">
        <v>-2.1377672209026099E-2</v>
      </c>
      <c r="L513">
        <v>-9</v>
      </c>
      <c r="M513">
        <f t="shared" si="31"/>
        <v>-1.6579535712767754E-2</v>
      </c>
      <c r="N513">
        <v>421</v>
      </c>
    </row>
    <row r="514" spans="1:14" x14ac:dyDescent="0.25">
      <c r="A514" s="1">
        <v>43845</v>
      </c>
      <c r="B514" s="1">
        <f t="shared" ref="B514:B577" si="32">YEAR(A514)</f>
        <v>2020</v>
      </c>
      <c r="C514" s="1" t="str">
        <f t="shared" ref="C514:C577" si="33">TEXT(A514,"mmm")</f>
        <v>Jan</v>
      </c>
      <c r="D514">
        <v>338.67999300000002</v>
      </c>
      <c r="E514">
        <v>343.17001299999998</v>
      </c>
      <c r="F514">
        <v>336.60000600000001</v>
      </c>
      <c r="G514">
        <v>339.07000699999998</v>
      </c>
      <c r="H514">
        <v>339.07000699999998</v>
      </c>
      <c r="I514">
        <f t="shared" ref="I514:I577" si="34">G514-D514</f>
        <v>0.39001399999995101</v>
      </c>
      <c r="J514">
        <v>5158000</v>
      </c>
      <c r="K514">
        <v>-0.10062893081761</v>
      </c>
      <c r="L514">
        <v>-32</v>
      </c>
      <c r="M514">
        <f t="shared" ref="M514:M577" si="35">(G514-D514)/D514</f>
        <v>1.1515708281001145E-3</v>
      </c>
      <c r="N514">
        <v>318</v>
      </c>
    </row>
    <row r="515" spans="1:14" x14ac:dyDescent="0.25">
      <c r="A515" s="1">
        <v>43846</v>
      </c>
      <c r="B515" s="1">
        <f t="shared" si="32"/>
        <v>2020</v>
      </c>
      <c r="C515" s="1" t="str">
        <f t="shared" si="33"/>
        <v>Jan</v>
      </c>
      <c r="D515">
        <v>343.5</v>
      </c>
      <c r="E515">
        <v>343.55999800000001</v>
      </c>
      <c r="F515">
        <v>335.85000600000001</v>
      </c>
      <c r="G515">
        <v>338.61999500000002</v>
      </c>
      <c r="H515">
        <v>338.61999500000002</v>
      </c>
      <c r="I515">
        <f t="shared" si="34"/>
        <v>-4.8800049999999828</v>
      </c>
      <c r="J515">
        <v>5016000</v>
      </c>
      <c r="K515">
        <v>-9.2105263157894704E-2</v>
      </c>
      <c r="L515">
        <v>-35</v>
      </c>
      <c r="M515">
        <f t="shared" si="35"/>
        <v>-1.4206710334788887E-2</v>
      </c>
      <c r="N515">
        <v>380</v>
      </c>
    </row>
    <row r="516" spans="1:14" x14ac:dyDescent="0.25">
      <c r="A516" s="1">
        <v>43847</v>
      </c>
      <c r="B516" s="1">
        <f t="shared" si="32"/>
        <v>2020</v>
      </c>
      <c r="C516" s="1" t="str">
        <f t="shared" si="33"/>
        <v>Jan</v>
      </c>
      <c r="D516">
        <v>341</v>
      </c>
      <c r="E516">
        <v>341.57000699999998</v>
      </c>
      <c r="F516">
        <v>337.38000499999998</v>
      </c>
      <c r="G516">
        <v>339.67001299999998</v>
      </c>
      <c r="H516">
        <v>339.67001299999998</v>
      </c>
      <c r="I516">
        <f t="shared" si="34"/>
        <v>-1.3299870000000169</v>
      </c>
      <c r="J516">
        <v>6066500</v>
      </c>
      <c r="K516">
        <v>-4.4843049327354202E-2</v>
      </c>
      <c r="L516">
        <v>-20</v>
      </c>
      <c r="M516">
        <f t="shared" si="35"/>
        <v>-3.9002551319648588E-3</v>
      </c>
      <c r="N516">
        <v>446</v>
      </c>
    </row>
    <row r="517" spans="1:14" x14ac:dyDescent="0.25">
      <c r="A517" s="1">
        <v>43851</v>
      </c>
      <c r="B517" s="1">
        <f t="shared" si="32"/>
        <v>2020</v>
      </c>
      <c r="C517" s="1" t="str">
        <f t="shared" si="33"/>
        <v>Jan</v>
      </c>
      <c r="D517">
        <v>340</v>
      </c>
      <c r="E517">
        <v>341</v>
      </c>
      <c r="F517">
        <v>332.58999599999999</v>
      </c>
      <c r="G517">
        <v>338.10998499999999</v>
      </c>
      <c r="H517">
        <v>338.10998499999999</v>
      </c>
      <c r="I517">
        <f t="shared" si="34"/>
        <v>-1.8900150000000053</v>
      </c>
      <c r="J517">
        <v>14350300</v>
      </c>
      <c r="K517">
        <v>-6.6145092460881905E-2</v>
      </c>
      <c r="L517">
        <v>-93</v>
      </c>
      <c r="M517">
        <f t="shared" si="35"/>
        <v>-5.5588676470588391E-3</v>
      </c>
      <c r="N517">
        <v>1406</v>
      </c>
    </row>
    <row r="518" spans="1:14" x14ac:dyDescent="0.25">
      <c r="A518" s="1">
        <v>43852</v>
      </c>
      <c r="B518" s="1">
        <f t="shared" si="32"/>
        <v>2020</v>
      </c>
      <c r="C518" s="1" t="str">
        <f t="shared" si="33"/>
        <v>Jan</v>
      </c>
      <c r="D518">
        <v>332.54998799999998</v>
      </c>
      <c r="E518">
        <v>336.29998799999998</v>
      </c>
      <c r="F518">
        <v>323.60000600000001</v>
      </c>
      <c r="G518">
        <v>326</v>
      </c>
      <c r="H518">
        <v>326</v>
      </c>
      <c r="I518">
        <f t="shared" si="34"/>
        <v>-6.5499879999999848</v>
      </c>
      <c r="J518">
        <v>21730000</v>
      </c>
      <c r="K518">
        <v>-0.108993902439024</v>
      </c>
      <c r="L518">
        <v>-143</v>
      </c>
      <c r="M518">
        <f t="shared" si="35"/>
        <v>-1.9696250898676878E-2</v>
      </c>
      <c r="N518">
        <v>1312</v>
      </c>
    </row>
    <row r="519" spans="1:14" x14ac:dyDescent="0.25">
      <c r="A519" s="1">
        <v>43853</v>
      </c>
      <c r="B519" s="1">
        <f t="shared" si="32"/>
        <v>2020</v>
      </c>
      <c r="C519" s="1" t="str">
        <f t="shared" si="33"/>
        <v>Jan</v>
      </c>
      <c r="D519">
        <v>326.040009</v>
      </c>
      <c r="E519">
        <v>349.88000499999998</v>
      </c>
      <c r="F519">
        <v>325.01001000000002</v>
      </c>
      <c r="G519">
        <v>349.60000600000001</v>
      </c>
      <c r="H519">
        <v>349.60000600000001</v>
      </c>
      <c r="I519">
        <f t="shared" si="34"/>
        <v>23.55999700000001</v>
      </c>
      <c r="J519">
        <v>18200300</v>
      </c>
      <c r="K519">
        <v>-2.2240527182866499E-2</v>
      </c>
      <c r="L519">
        <v>-27</v>
      </c>
      <c r="M519">
        <f t="shared" si="35"/>
        <v>7.2261061065054782E-2</v>
      </c>
      <c r="N519">
        <v>1214</v>
      </c>
    </row>
    <row r="520" spans="1:14" x14ac:dyDescent="0.25">
      <c r="A520" s="1">
        <v>43854</v>
      </c>
      <c r="B520" s="1">
        <f t="shared" si="32"/>
        <v>2020</v>
      </c>
      <c r="C520" s="1" t="str">
        <f t="shared" si="33"/>
        <v>Jan</v>
      </c>
      <c r="D520">
        <v>348.459991</v>
      </c>
      <c r="E520">
        <v>359.85000600000001</v>
      </c>
      <c r="F520">
        <v>345.88000499999998</v>
      </c>
      <c r="G520">
        <v>353.16000400000001</v>
      </c>
      <c r="H520">
        <v>353.16000400000001</v>
      </c>
      <c r="I520">
        <f t="shared" si="34"/>
        <v>4.7000130000000127</v>
      </c>
      <c r="J520">
        <v>17939700</v>
      </c>
      <c r="K520">
        <v>-6.2726176115802099E-2</v>
      </c>
      <c r="L520">
        <v>-52</v>
      </c>
      <c r="M520">
        <f t="shared" si="35"/>
        <v>1.3487955924328807E-2</v>
      </c>
      <c r="N520">
        <v>829</v>
      </c>
    </row>
    <row r="521" spans="1:14" x14ac:dyDescent="0.25">
      <c r="A521" s="1">
        <v>43857</v>
      </c>
      <c r="B521" s="1">
        <f t="shared" si="32"/>
        <v>2020</v>
      </c>
      <c r="C521" s="1" t="str">
        <f t="shared" si="33"/>
        <v>Jan</v>
      </c>
      <c r="D521">
        <v>345.95001200000002</v>
      </c>
      <c r="E521">
        <v>351.89999399999999</v>
      </c>
      <c r="F521">
        <v>341.01998900000001</v>
      </c>
      <c r="G521">
        <v>342.88000499999998</v>
      </c>
      <c r="H521">
        <v>342.88000499999998</v>
      </c>
      <c r="I521">
        <f t="shared" si="34"/>
        <v>-3.0700070000000323</v>
      </c>
      <c r="J521">
        <v>7709500</v>
      </c>
      <c r="K521">
        <v>-0.125</v>
      </c>
      <c r="L521">
        <v>-54</v>
      </c>
      <c r="M521">
        <f t="shared" si="35"/>
        <v>-8.8741346827877331E-3</v>
      </c>
      <c r="N521">
        <v>432</v>
      </c>
    </row>
    <row r="522" spans="1:14" x14ac:dyDescent="0.25">
      <c r="A522" s="1">
        <v>43858</v>
      </c>
      <c r="B522" s="1">
        <f t="shared" si="32"/>
        <v>2020</v>
      </c>
      <c r="C522" s="1" t="str">
        <f t="shared" si="33"/>
        <v>Jan</v>
      </c>
      <c r="D522">
        <v>345.88000499999998</v>
      </c>
      <c r="E522">
        <v>352.39999399999999</v>
      </c>
      <c r="F522">
        <v>342.77999899999998</v>
      </c>
      <c r="G522">
        <v>348.51998900000001</v>
      </c>
      <c r="H522">
        <v>348.51998900000001</v>
      </c>
      <c r="I522">
        <f t="shared" si="34"/>
        <v>2.6399840000000268</v>
      </c>
      <c r="J522">
        <v>6821600</v>
      </c>
      <c r="K522">
        <v>-9.69162995594713E-2</v>
      </c>
      <c r="L522">
        <v>-44</v>
      </c>
      <c r="M522">
        <f t="shared" si="35"/>
        <v>7.6326586152328374E-3</v>
      </c>
      <c r="N522">
        <v>454</v>
      </c>
    </row>
    <row r="523" spans="1:14" x14ac:dyDescent="0.25">
      <c r="A523" s="1">
        <v>43859</v>
      </c>
      <c r="B523" s="1">
        <f t="shared" si="32"/>
        <v>2020</v>
      </c>
      <c r="C523" s="1" t="str">
        <f t="shared" si="33"/>
        <v>Jan</v>
      </c>
      <c r="D523">
        <v>349</v>
      </c>
      <c r="E523">
        <v>349.39999399999999</v>
      </c>
      <c r="F523">
        <v>338.54998799999998</v>
      </c>
      <c r="G523">
        <v>343.16000400000001</v>
      </c>
      <c r="H523">
        <v>343.16000400000001</v>
      </c>
      <c r="I523">
        <f t="shared" si="34"/>
        <v>-5.8399959999999851</v>
      </c>
      <c r="J523">
        <v>7643500</v>
      </c>
      <c r="K523">
        <v>-0.14285714285714199</v>
      </c>
      <c r="L523">
        <v>-55</v>
      </c>
      <c r="M523">
        <f t="shared" si="35"/>
        <v>-1.6733512893982765E-2</v>
      </c>
      <c r="N523">
        <v>385</v>
      </c>
    </row>
    <row r="524" spans="1:14" x14ac:dyDescent="0.25">
      <c r="A524" s="1">
        <v>43860</v>
      </c>
      <c r="B524" s="1">
        <f t="shared" si="32"/>
        <v>2020</v>
      </c>
      <c r="C524" s="1" t="str">
        <f t="shared" si="33"/>
        <v>Jan</v>
      </c>
      <c r="D524">
        <v>341.10000600000001</v>
      </c>
      <c r="E524">
        <v>348.20001200000002</v>
      </c>
      <c r="F524">
        <v>339.25</v>
      </c>
      <c r="G524">
        <v>347.73998999999998</v>
      </c>
      <c r="H524">
        <v>347.73998999999998</v>
      </c>
      <c r="I524">
        <f t="shared" si="34"/>
        <v>6.6399839999999699</v>
      </c>
      <c r="J524">
        <v>5328100</v>
      </c>
      <c r="K524">
        <v>-0.18879056047197601</v>
      </c>
      <c r="L524">
        <v>-64</v>
      </c>
      <c r="M524">
        <f t="shared" si="35"/>
        <v>1.9466384881857698E-2</v>
      </c>
      <c r="N524">
        <v>339</v>
      </c>
    </row>
    <row r="525" spans="1:14" x14ac:dyDescent="0.25">
      <c r="A525" s="1">
        <v>43861</v>
      </c>
      <c r="B525" s="1">
        <f t="shared" si="32"/>
        <v>2020</v>
      </c>
      <c r="C525" s="1" t="str">
        <f t="shared" si="33"/>
        <v>Jan</v>
      </c>
      <c r="D525">
        <v>347.39001500000001</v>
      </c>
      <c r="E525">
        <v>347.39001500000001</v>
      </c>
      <c r="F525">
        <v>340.98001099999999</v>
      </c>
      <c r="G525">
        <v>345.08999599999999</v>
      </c>
      <c r="H525">
        <v>345.08999599999999</v>
      </c>
      <c r="I525">
        <f t="shared" si="34"/>
        <v>-2.3000190000000202</v>
      </c>
      <c r="J525">
        <v>5230000</v>
      </c>
      <c r="K525">
        <v>-0.16613418530351401</v>
      </c>
      <c r="L525">
        <v>-52</v>
      </c>
      <c r="M525">
        <f t="shared" si="35"/>
        <v>-6.6208552367287244E-3</v>
      </c>
      <c r="N525">
        <v>313</v>
      </c>
    </row>
    <row r="526" spans="1:14" x14ac:dyDescent="0.25">
      <c r="A526" s="1">
        <v>43864</v>
      </c>
      <c r="B526" s="1">
        <f t="shared" si="32"/>
        <v>2020</v>
      </c>
      <c r="C526" s="1" t="str">
        <f t="shared" si="33"/>
        <v>Feb</v>
      </c>
      <c r="D526">
        <v>347.23998999999998</v>
      </c>
      <c r="E526">
        <v>359.63000499999998</v>
      </c>
      <c r="F526">
        <v>346.27999899999998</v>
      </c>
      <c r="G526">
        <v>358</v>
      </c>
      <c r="H526">
        <v>358</v>
      </c>
      <c r="I526">
        <f t="shared" si="34"/>
        <v>10.760010000000023</v>
      </c>
      <c r="J526">
        <v>6670600</v>
      </c>
      <c r="K526">
        <v>-2.3809523809523001E-3</v>
      </c>
      <c r="L526">
        <v>-1</v>
      </c>
      <c r="M526">
        <f t="shared" si="35"/>
        <v>3.0987243145583616E-2</v>
      </c>
      <c r="N526">
        <v>420</v>
      </c>
    </row>
    <row r="527" spans="1:14" x14ac:dyDescent="0.25">
      <c r="A527" s="1">
        <v>43865</v>
      </c>
      <c r="B527" s="1">
        <f t="shared" si="32"/>
        <v>2020</v>
      </c>
      <c r="C527" s="1" t="str">
        <f t="shared" si="33"/>
        <v>Feb</v>
      </c>
      <c r="D527">
        <v>361</v>
      </c>
      <c r="E527">
        <v>369.57000699999998</v>
      </c>
      <c r="F527">
        <v>356.10000600000001</v>
      </c>
      <c r="G527">
        <v>369.01001000000002</v>
      </c>
      <c r="H527">
        <v>369.01001000000002</v>
      </c>
      <c r="I527">
        <f t="shared" si="34"/>
        <v>8.0100100000000225</v>
      </c>
      <c r="J527">
        <v>7161500</v>
      </c>
      <c r="K527">
        <v>-6.4056939501779306E-2</v>
      </c>
      <c r="L527">
        <v>-36</v>
      </c>
      <c r="M527">
        <f t="shared" si="35"/>
        <v>2.2188393351800617E-2</v>
      </c>
      <c r="N527">
        <v>562</v>
      </c>
    </row>
    <row r="528" spans="1:14" x14ac:dyDescent="0.25">
      <c r="A528" s="1">
        <v>43866</v>
      </c>
      <c r="B528" s="1">
        <f t="shared" si="32"/>
        <v>2020</v>
      </c>
      <c r="C528" s="1" t="str">
        <f t="shared" si="33"/>
        <v>Feb</v>
      </c>
      <c r="D528">
        <v>375.13000499999998</v>
      </c>
      <c r="E528">
        <v>375.25</v>
      </c>
      <c r="F528">
        <v>362.29998799999998</v>
      </c>
      <c r="G528">
        <v>369.67001299999998</v>
      </c>
      <c r="H528">
        <v>369.67001299999998</v>
      </c>
      <c r="I528">
        <f t="shared" si="34"/>
        <v>-5.4599919999999997</v>
      </c>
      <c r="J528">
        <v>6437000</v>
      </c>
      <c r="K528">
        <v>-7.3170731707316999E-2</v>
      </c>
      <c r="L528">
        <v>-36</v>
      </c>
      <c r="M528">
        <f t="shared" si="35"/>
        <v>-1.4554932762576536E-2</v>
      </c>
      <c r="N528">
        <v>492</v>
      </c>
    </row>
    <row r="529" spans="1:14" x14ac:dyDescent="0.25">
      <c r="A529" s="1">
        <v>43867</v>
      </c>
      <c r="B529" s="1">
        <f t="shared" si="32"/>
        <v>2020</v>
      </c>
      <c r="C529" s="1" t="str">
        <f t="shared" si="33"/>
        <v>Feb</v>
      </c>
      <c r="D529">
        <v>369.60000600000001</v>
      </c>
      <c r="E529">
        <v>371.54998799999998</v>
      </c>
      <c r="F529">
        <v>362.51001000000002</v>
      </c>
      <c r="G529">
        <v>366.95001200000002</v>
      </c>
      <c r="H529">
        <v>366.95001200000002</v>
      </c>
      <c r="I529">
        <f t="shared" si="34"/>
        <v>-2.6499939999999924</v>
      </c>
      <c r="J529">
        <v>3920400</v>
      </c>
      <c r="K529">
        <v>-0.12861736334405099</v>
      </c>
      <c r="L529">
        <v>-40</v>
      </c>
      <c r="M529">
        <f t="shared" si="35"/>
        <v>-7.1698970697527328E-3</v>
      </c>
      <c r="N529">
        <v>311</v>
      </c>
    </row>
    <row r="530" spans="1:14" x14ac:dyDescent="0.25">
      <c r="A530" s="1">
        <v>43868</v>
      </c>
      <c r="B530" s="1">
        <f t="shared" si="32"/>
        <v>2020</v>
      </c>
      <c r="C530" s="1" t="str">
        <f t="shared" si="33"/>
        <v>Feb</v>
      </c>
      <c r="D530">
        <v>365.040009</v>
      </c>
      <c r="E530">
        <v>371.79998799999998</v>
      </c>
      <c r="F530">
        <v>363.57000699999998</v>
      </c>
      <c r="G530">
        <v>366.76998900000001</v>
      </c>
      <c r="H530">
        <v>366.76998900000001</v>
      </c>
      <c r="I530">
        <f t="shared" si="34"/>
        <v>1.7299800000000118</v>
      </c>
      <c r="J530">
        <v>4385200</v>
      </c>
      <c r="K530">
        <v>-6.5155807365438995E-2</v>
      </c>
      <c r="L530">
        <v>-23</v>
      </c>
      <c r="M530">
        <f t="shared" si="35"/>
        <v>4.7391517569242989E-3</v>
      </c>
      <c r="N530">
        <v>353</v>
      </c>
    </row>
    <row r="531" spans="1:14" x14ac:dyDescent="0.25">
      <c r="A531" s="1">
        <v>43871</v>
      </c>
      <c r="B531" s="1">
        <f t="shared" si="32"/>
        <v>2020</v>
      </c>
      <c r="C531" s="1" t="str">
        <f t="shared" si="33"/>
        <v>Feb</v>
      </c>
      <c r="D531">
        <v>365</v>
      </c>
      <c r="E531">
        <v>374.79998799999998</v>
      </c>
      <c r="F531">
        <v>362.51998900000001</v>
      </c>
      <c r="G531">
        <v>371.07000699999998</v>
      </c>
      <c r="H531">
        <v>371.07000699999998</v>
      </c>
      <c r="I531">
        <f t="shared" si="34"/>
        <v>6.0700069999999755</v>
      </c>
      <c r="J531">
        <v>5294100</v>
      </c>
      <c r="K531">
        <v>-7.4766355140186896E-2</v>
      </c>
      <c r="L531">
        <v>-32</v>
      </c>
      <c r="M531">
        <f t="shared" si="35"/>
        <v>1.6630156164383493E-2</v>
      </c>
      <c r="N531">
        <v>428</v>
      </c>
    </row>
    <row r="532" spans="1:14" x14ac:dyDescent="0.25">
      <c r="A532" s="1">
        <v>43872</v>
      </c>
      <c r="B532" s="1">
        <f t="shared" si="32"/>
        <v>2020</v>
      </c>
      <c r="C532" s="1" t="str">
        <f t="shared" si="33"/>
        <v>Feb</v>
      </c>
      <c r="D532">
        <v>373.75</v>
      </c>
      <c r="E532">
        <v>378.10998499999999</v>
      </c>
      <c r="F532">
        <v>369.72000100000002</v>
      </c>
      <c r="G532">
        <v>373.69000199999999</v>
      </c>
      <c r="H532">
        <v>373.69000199999999</v>
      </c>
      <c r="I532">
        <f t="shared" si="34"/>
        <v>-5.9998000000007323E-2</v>
      </c>
      <c r="J532">
        <v>4772900</v>
      </c>
      <c r="K532">
        <v>-3.0927835051546299E-2</v>
      </c>
      <c r="L532">
        <v>-12</v>
      </c>
      <c r="M532">
        <f t="shared" si="35"/>
        <v>-1.6052976588630722E-4</v>
      </c>
      <c r="N532">
        <v>388</v>
      </c>
    </row>
    <row r="533" spans="1:14" x14ac:dyDescent="0.25">
      <c r="A533" s="1">
        <v>43873</v>
      </c>
      <c r="B533" s="1">
        <f t="shared" si="32"/>
        <v>2020</v>
      </c>
      <c r="C533" s="1" t="str">
        <f t="shared" si="33"/>
        <v>Feb</v>
      </c>
      <c r="D533">
        <v>377.17999300000002</v>
      </c>
      <c r="E533">
        <v>380.61999500000002</v>
      </c>
      <c r="F533">
        <v>375.88000499999998</v>
      </c>
      <c r="G533">
        <v>380.01001000000002</v>
      </c>
      <c r="H533">
        <v>380.01001000000002</v>
      </c>
      <c r="I533">
        <f t="shared" si="34"/>
        <v>2.830016999999998</v>
      </c>
      <c r="J533">
        <v>4624800</v>
      </c>
      <c r="K533">
        <v>-6.5155807365438995E-2</v>
      </c>
      <c r="L533">
        <v>-23</v>
      </c>
      <c r="M533">
        <f t="shared" si="35"/>
        <v>7.5030941527166259E-3</v>
      </c>
      <c r="N533">
        <v>353</v>
      </c>
    </row>
    <row r="534" spans="1:14" x14ac:dyDescent="0.25">
      <c r="A534" s="1">
        <v>43874</v>
      </c>
      <c r="B534" s="1">
        <f t="shared" si="32"/>
        <v>2020</v>
      </c>
      <c r="C534" s="1" t="str">
        <f t="shared" si="33"/>
        <v>Feb</v>
      </c>
      <c r="D534">
        <v>376.959991</v>
      </c>
      <c r="E534">
        <v>385.36999500000002</v>
      </c>
      <c r="F534">
        <v>376.51001000000002</v>
      </c>
      <c r="G534">
        <v>381.39999399999999</v>
      </c>
      <c r="H534">
        <v>381.39999399999999</v>
      </c>
      <c r="I534">
        <f t="shared" si="34"/>
        <v>4.4400029999999902</v>
      </c>
      <c r="J534">
        <v>4485400</v>
      </c>
      <c r="K534">
        <v>-9.7852028639618102E-2</v>
      </c>
      <c r="L534">
        <v>-41</v>
      </c>
      <c r="M534">
        <f t="shared" si="35"/>
        <v>1.1778446270177224E-2</v>
      </c>
      <c r="N534">
        <v>419</v>
      </c>
    </row>
    <row r="535" spans="1:14" x14ac:dyDescent="0.25">
      <c r="A535" s="1">
        <v>43875</v>
      </c>
      <c r="B535" s="1">
        <f t="shared" si="32"/>
        <v>2020</v>
      </c>
      <c r="C535" s="1" t="str">
        <f t="shared" si="33"/>
        <v>Feb</v>
      </c>
      <c r="D535">
        <v>381.47000100000002</v>
      </c>
      <c r="E535">
        <v>385.14999399999999</v>
      </c>
      <c r="F535">
        <v>379.42999300000002</v>
      </c>
      <c r="G535">
        <v>380.39999399999999</v>
      </c>
      <c r="H535">
        <v>380.39999399999999</v>
      </c>
      <c r="I535">
        <f t="shared" si="34"/>
        <v>-1.0700070000000323</v>
      </c>
      <c r="J535">
        <v>3736300</v>
      </c>
      <c r="K535">
        <v>-9.3425605536332099E-2</v>
      </c>
      <c r="L535">
        <v>-27</v>
      </c>
      <c r="M535">
        <f t="shared" si="35"/>
        <v>-2.8049571321337855E-3</v>
      </c>
      <c r="N535">
        <v>289</v>
      </c>
    </row>
    <row r="536" spans="1:14" x14ac:dyDescent="0.25">
      <c r="A536" s="1">
        <v>43879</v>
      </c>
      <c r="B536" s="1">
        <f t="shared" si="32"/>
        <v>2020</v>
      </c>
      <c r="C536" s="1" t="str">
        <f t="shared" si="33"/>
        <v>Feb</v>
      </c>
      <c r="D536">
        <v>379.29998799999998</v>
      </c>
      <c r="E536">
        <v>389.540009</v>
      </c>
      <c r="F536">
        <v>379.19000199999999</v>
      </c>
      <c r="G536">
        <v>387.77999899999998</v>
      </c>
      <c r="H536">
        <v>387.77999899999998</v>
      </c>
      <c r="I536">
        <f t="shared" si="34"/>
        <v>8.4800109999999904</v>
      </c>
      <c r="J536">
        <v>5173900</v>
      </c>
      <c r="K536">
        <v>-8.6854460093896704E-2</v>
      </c>
      <c r="L536">
        <v>-37</v>
      </c>
      <c r="M536">
        <f t="shared" si="35"/>
        <v>2.235700308010553E-2</v>
      </c>
      <c r="N536">
        <v>426</v>
      </c>
    </row>
    <row r="537" spans="1:14" x14ac:dyDescent="0.25">
      <c r="A537" s="1">
        <v>43880</v>
      </c>
      <c r="B537" s="1">
        <f t="shared" si="32"/>
        <v>2020</v>
      </c>
      <c r="C537" s="1" t="str">
        <f t="shared" si="33"/>
        <v>Feb</v>
      </c>
      <c r="D537">
        <v>388.11999500000002</v>
      </c>
      <c r="E537">
        <v>392.95001200000002</v>
      </c>
      <c r="F537">
        <v>384.89999399999999</v>
      </c>
      <c r="G537">
        <v>386.19000199999999</v>
      </c>
      <c r="H537">
        <v>386.19000199999999</v>
      </c>
      <c r="I537">
        <f t="shared" si="34"/>
        <v>-1.9299930000000245</v>
      </c>
      <c r="J537">
        <v>4896400</v>
      </c>
      <c r="K537">
        <v>-5.4347826086956499E-2</v>
      </c>
      <c r="L537">
        <v>-20</v>
      </c>
      <c r="M537">
        <f t="shared" si="35"/>
        <v>-4.9726708875177236E-3</v>
      </c>
      <c r="N537">
        <v>368</v>
      </c>
    </row>
    <row r="538" spans="1:14" x14ac:dyDescent="0.25">
      <c r="A538" s="1">
        <v>43881</v>
      </c>
      <c r="B538" s="1">
        <f t="shared" si="32"/>
        <v>2020</v>
      </c>
      <c r="C538" s="1" t="str">
        <f t="shared" si="33"/>
        <v>Feb</v>
      </c>
      <c r="D538">
        <v>386.55999800000001</v>
      </c>
      <c r="E538">
        <v>389.70001200000002</v>
      </c>
      <c r="F538">
        <v>376.67999300000002</v>
      </c>
      <c r="G538">
        <v>386</v>
      </c>
      <c r="H538">
        <v>386</v>
      </c>
      <c r="I538">
        <f t="shared" si="34"/>
        <v>-0.55999800000000732</v>
      </c>
      <c r="J538">
        <v>4079400</v>
      </c>
      <c r="K538">
        <v>-8.66666666666666E-2</v>
      </c>
      <c r="L538">
        <v>-26</v>
      </c>
      <c r="M538">
        <f t="shared" si="35"/>
        <v>-1.4486703303428911E-3</v>
      </c>
      <c r="N538">
        <v>300</v>
      </c>
    </row>
    <row r="539" spans="1:14" x14ac:dyDescent="0.25">
      <c r="A539" s="1">
        <v>43882</v>
      </c>
      <c r="B539" s="1">
        <f t="shared" si="32"/>
        <v>2020</v>
      </c>
      <c r="C539" s="1" t="str">
        <f t="shared" si="33"/>
        <v>Feb</v>
      </c>
      <c r="D539">
        <v>385.32998700000002</v>
      </c>
      <c r="E539">
        <v>387.32000699999998</v>
      </c>
      <c r="F539">
        <v>377.89999399999999</v>
      </c>
      <c r="G539">
        <v>380.07000699999998</v>
      </c>
      <c r="H539">
        <v>380.07000699999998</v>
      </c>
      <c r="I539">
        <f t="shared" si="34"/>
        <v>-5.2599800000000414</v>
      </c>
      <c r="J539">
        <v>3930100</v>
      </c>
      <c r="K539">
        <v>-0.116838487972508</v>
      </c>
      <c r="L539">
        <v>-34</v>
      </c>
      <c r="M539">
        <f t="shared" si="35"/>
        <v>-1.365058567320908E-2</v>
      </c>
      <c r="N539">
        <v>291</v>
      </c>
    </row>
    <row r="540" spans="1:14" x14ac:dyDescent="0.25">
      <c r="A540" s="1">
        <v>43885</v>
      </c>
      <c r="B540" s="1">
        <f t="shared" si="32"/>
        <v>2020</v>
      </c>
      <c r="C540" s="1" t="str">
        <f t="shared" si="33"/>
        <v>Feb</v>
      </c>
      <c r="D540">
        <v>364.76001000000002</v>
      </c>
      <c r="E540">
        <v>372.82000699999998</v>
      </c>
      <c r="F540">
        <v>361</v>
      </c>
      <c r="G540">
        <v>368.70001200000002</v>
      </c>
      <c r="H540">
        <v>368.70001200000002</v>
      </c>
      <c r="I540">
        <f t="shared" si="34"/>
        <v>3.9400019999999927</v>
      </c>
      <c r="J540">
        <v>6936400</v>
      </c>
      <c r="K540">
        <v>-0.15217391304347799</v>
      </c>
      <c r="L540">
        <v>-56</v>
      </c>
      <c r="M540">
        <f t="shared" si="35"/>
        <v>1.0801628171904021E-2</v>
      </c>
      <c r="N540">
        <v>368</v>
      </c>
    </row>
    <row r="541" spans="1:14" x14ac:dyDescent="0.25">
      <c r="A541" s="1">
        <v>43886</v>
      </c>
      <c r="B541" s="1">
        <f t="shared" si="32"/>
        <v>2020</v>
      </c>
      <c r="C541" s="1" t="str">
        <f t="shared" si="33"/>
        <v>Feb</v>
      </c>
      <c r="D541">
        <v>372</v>
      </c>
      <c r="E541">
        <v>375.64999399999999</v>
      </c>
      <c r="F541">
        <v>357.72000100000002</v>
      </c>
      <c r="G541">
        <v>360.08999599999999</v>
      </c>
      <c r="H541">
        <v>360.08999599999999</v>
      </c>
      <c r="I541">
        <f t="shared" si="34"/>
        <v>-11.910004000000015</v>
      </c>
      <c r="J541">
        <v>6481200</v>
      </c>
      <c r="K541">
        <v>-8.6842105263157901E-2</v>
      </c>
      <c r="L541">
        <v>-33</v>
      </c>
      <c r="M541">
        <f t="shared" si="35"/>
        <v>-3.2016139784946274E-2</v>
      </c>
      <c r="N541">
        <v>380</v>
      </c>
    </row>
    <row r="542" spans="1:14" x14ac:dyDescent="0.25">
      <c r="A542" s="1">
        <v>43887</v>
      </c>
      <c r="B542" s="1">
        <f t="shared" si="32"/>
        <v>2020</v>
      </c>
      <c r="C542" s="1" t="str">
        <f t="shared" si="33"/>
        <v>Feb</v>
      </c>
      <c r="D542">
        <v>366.30999800000001</v>
      </c>
      <c r="E542">
        <v>382</v>
      </c>
      <c r="F542">
        <v>365</v>
      </c>
      <c r="G542">
        <v>379.23998999999998</v>
      </c>
      <c r="H542">
        <v>379.23998999999998</v>
      </c>
      <c r="I542">
        <f t="shared" si="34"/>
        <v>12.92999199999997</v>
      </c>
      <c r="J542">
        <v>8934100</v>
      </c>
      <c r="K542">
        <v>-6.2630480167014599E-2</v>
      </c>
      <c r="L542">
        <v>-30</v>
      </c>
      <c r="M542">
        <f t="shared" si="35"/>
        <v>3.5297950016641287E-2</v>
      </c>
      <c r="N542">
        <v>479</v>
      </c>
    </row>
    <row r="543" spans="1:14" x14ac:dyDescent="0.25">
      <c r="A543" s="1">
        <v>43888</v>
      </c>
      <c r="B543" s="1">
        <f t="shared" si="32"/>
        <v>2020</v>
      </c>
      <c r="C543" s="1" t="str">
        <f t="shared" si="33"/>
        <v>Feb</v>
      </c>
      <c r="D543">
        <v>371.459991</v>
      </c>
      <c r="E543">
        <v>391.55999800000001</v>
      </c>
      <c r="F543">
        <v>370.60000600000001</v>
      </c>
      <c r="G543">
        <v>371.709991</v>
      </c>
      <c r="H543">
        <v>371.709991</v>
      </c>
      <c r="I543">
        <f t="shared" si="34"/>
        <v>0.25</v>
      </c>
      <c r="J543">
        <v>10967700</v>
      </c>
      <c r="K543">
        <v>-0.121333333333333</v>
      </c>
      <c r="L543">
        <v>-91</v>
      </c>
      <c r="M543">
        <f t="shared" si="35"/>
        <v>6.7301999153927719E-4</v>
      </c>
      <c r="N543">
        <v>750</v>
      </c>
    </row>
    <row r="544" spans="1:14" x14ac:dyDescent="0.25">
      <c r="A544" s="1">
        <v>43889</v>
      </c>
      <c r="B544" s="1">
        <f t="shared" si="32"/>
        <v>2020</v>
      </c>
      <c r="C544" s="1" t="str">
        <f t="shared" si="33"/>
        <v>Feb</v>
      </c>
      <c r="D544">
        <v>364.209991</v>
      </c>
      <c r="E544">
        <v>376.76998900000001</v>
      </c>
      <c r="F544">
        <v>356.79998799999998</v>
      </c>
      <c r="G544">
        <v>369.02999899999998</v>
      </c>
      <c r="H544">
        <v>369.02999899999998</v>
      </c>
      <c r="I544">
        <f t="shared" si="34"/>
        <v>4.820007999999973</v>
      </c>
      <c r="J544">
        <v>11168600</v>
      </c>
      <c r="K544">
        <v>-0.12</v>
      </c>
      <c r="L544">
        <v>-42</v>
      </c>
      <c r="M544">
        <f t="shared" si="35"/>
        <v>1.3234145463077022E-2</v>
      </c>
      <c r="N544">
        <v>350</v>
      </c>
    </row>
    <row r="545" spans="1:14" x14ac:dyDescent="0.25">
      <c r="A545" s="1">
        <v>43892</v>
      </c>
      <c r="B545" s="1">
        <f t="shared" si="32"/>
        <v>2020</v>
      </c>
      <c r="C545" s="1" t="str">
        <f t="shared" si="33"/>
        <v>Mar</v>
      </c>
      <c r="D545">
        <v>373.10998499999999</v>
      </c>
      <c r="E545">
        <v>381.35998499999999</v>
      </c>
      <c r="F545">
        <v>364.5</v>
      </c>
      <c r="G545">
        <v>381.04998799999998</v>
      </c>
      <c r="H545">
        <v>381.04998799999998</v>
      </c>
      <c r="I545">
        <f t="shared" si="34"/>
        <v>7.9400029999999902</v>
      </c>
      <c r="J545">
        <v>6997900</v>
      </c>
      <c r="K545">
        <v>-0.10344827586206801</v>
      </c>
      <c r="L545">
        <v>-24</v>
      </c>
      <c r="M545">
        <f t="shared" si="35"/>
        <v>2.1280596390364601E-2</v>
      </c>
      <c r="N545">
        <v>232</v>
      </c>
    </row>
    <row r="546" spans="1:14" x14ac:dyDescent="0.25">
      <c r="A546" s="1">
        <v>43893</v>
      </c>
      <c r="B546" s="1">
        <f t="shared" si="32"/>
        <v>2020</v>
      </c>
      <c r="C546" s="1" t="str">
        <f t="shared" si="33"/>
        <v>Mar</v>
      </c>
      <c r="D546">
        <v>381.02999899999998</v>
      </c>
      <c r="E546">
        <v>393.51998900000001</v>
      </c>
      <c r="F546">
        <v>367.39999399999999</v>
      </c>
      <c r="G546">
        <v>368.76998900000001</v>
      </c>
      <c r="H546">
        <v>368.76998900000001</v>
      </c>
      <c r="I546">
        <f t="shared" si="34"/>
        <v>-12.260009999999966</v>
      </c>
      <c r="J546">
        <v>8364600</v>
      </c>
      <c r="K546">
        <v>-9.7799511002444994E-2</v>
      </c>
      <c r="L546">
        <v>-40</v>
      </c>
      <c r="M546">
        <f t="shared" si="35"/>
        <v>-3.2175970480476435E-2</v>
      </c>
      <c r="N546">
        <v>409</v>
      </c>
    </row>
    <row r="547" spans="1:14" x14ac:dyDescent="0.25">
      <c r="A547" s="1">
        <v>43894</v>
      </c>
      <c r="B547" s="1">
        <f t="shared" si="32"/>
        <v>2020</v>
      </c>
      <c r="C547" s="1" t="str">
        <f t="shared" si="33"/>
        <v>Mar</v>
      </c>
      <c r="D547">
        <v>377.76998900000001</v>
      </c>
      <c r="E547">
        <v>384.01001000000002</v>
      </c>
      <c r="F547">
        <v>370.51001000000002</v>
      </c>
      <c r="G547">
        <v>383.790009</v>
      </c>
      <c r="H547">
        <v>383.790009</v>
      </c>
      <c r="I547">
        <f t="shared" si="34"/>
        <v>6.0200199999999882</v>
      </c>
      <c r="J547">
        <v>5487300</v>
      </c>
      <c r="K547">
        <v>-0.18960244648318</v>
      </c>
      <c r="L547">
        <v>-62</v>
      </c>
      <c r="M547">
        <f t="shared" si="35"/>
        <v>1.5935675610271909E-2</v>
      </c>
      <c r="N547">
        <v>327</v>
      </c>
    </row>
    <row r="548" spans="1:14" x14ac:dyDescent="0.25">
      <c r="A548" s="1">
        <v>43895</v>
      </c>
      <c r="B548" s="1">
        <f t="shared" si="32"/>
        <v>2020</v>
      </c>
      <c r="C548" s="1" t="str">
        <f t="shared" si="33"/>
        <v>Mar</v>
      </c>
      <c r="D548">
        <v>381</v>
      </c>
      <c r="E548">
        <v>391.39999399999999</v>
      </c>
      <c r="F548">
        <v>368.64001500000001</v>
      </c>
      <c r="G548">
        <v>372.77999899999998</v>
      </c>
      <c r="H548">
        <v>372.77999899999998</v>
      </c>
      <c r="I548">
        <f t="shared" si="34"/>
        <v>-8.2200010000000248</v>
      </c>
      <c r="J548">
        <v>8747000</v>
      </c>
      <c r="K548">
        <v>-0.11504424778760999</v>
      </c>
      <c r="L548">
        <v>-52</v>
      </c>
      <c r="M548">
        <f t="shared" si="35"/>
        <v>-2.1574805774278279E-2</v>
      </c>
      <c r="N548">
        <v>452</v>
      </c>
    </row>
    <row r="549" spans="1:14" x14ac:dyDescent="0.25">
      <c r="A549" s="1">
        <v>43896</v>
      </c>
      <c r="B549" s="1">
        <f t="shared" si="32"/>
        <v>2020</v>
      </c>
      <c r="C549" s="1" t="str">
        <f t="shared" si="33"/>
        <v>Mar</v>
      </c>
      <c r="D549">
        <v>367.70001200000002</v>
      </c>
      <c r="E549">
        <v>371.30999800000001</v>
      </c>
      <c r="F549">
        <v>356.85000600000001</v>
      </c>
      <c r="G549">
        <v>368.97000100000002</v>
      </c>
      <c r="H549">
        <v>368.97000100000002</v>
      </c>
      <c r="I549">
        <f t="shared" si="34"/>
        <v>1.2699890000000096</v>
      </c>
      <c r="J549">
        <v>8147200</v>
      </c>
      <c r="K549">
        <v>-0.157480314960629</v>
      </c>
      <c r="L549">
        <v>-60</v>
      </c>
      <c r="M549">
        <f t="shared" si="35"/>
        <v>3.4538726096098402E-3</v>
      </c>
      <c r="N549">
        <v>381</v>
      </c>
    </row>
    <row r="550" spans="1:14" x14ac:dyDescent="0.25">
      <c r="A550" s="1">
        <v>43899</v>
      </c>
      <c r="B550" s="1">
        <f t="shared" si="32"/>
        <v>2020</v>
      </c>
      <c r="C550" s="1" t="str">
        <f t="shared" si="33"/>
        <v>Mar</v>
      </c>
      <c r="D550">
        <v>343.85998499999999</v>
      </c>
      <c r="E550">
        <v>357.47000100000002</v>
      </c>
      <c r="F550">
        <v>341.72000100000002</v>
      </c>
      <c r="G550">
        <v>346.48998999999998</v>
      </c>
      <c r="H550">
        <v>346.48998999999998</v>
      </c>
      <c r="I550">
        <f t="shared" si="34"/>
        <v>2.6300049999999828</v>
      </c>
      <c r="J550">
        <v>7405500</v>
      </c>
      <c r="K550">
        <v>-0.18041237113402001</v>
      </c>
      <c r="L550">
        <v>-70</v>
      </c>
      <c r="M550">
        <f t="shared" si="35"/>
        <v>7.6484764576488385E-3</v>
      </c>
      <c r="N550">
        <v>388</v>
      </c>
    </row>
    <row r="551" spans="1:14" x14ac:dyDescent="0.25">
      <c r="A551" s="1">
        <v>43900</v>
      </c>
      <c r="B551" s="1">
        <f t="shared" si="32"/>
        <v>2020</v>
      </c>
      <c r="C551" s="1" t="str">
        <f t="shared" si="33"/>
        <v>Mar</v>
      </c>
      <c r="D551">
        <v>356.42999300000002</v>
      </c>
      <c r="E551">
        <v>364.540009</v>
      </c>
      <c r="F551">
        <v>347.85000600000001</v>
      </c>
      <c r="G551">
        <v>364.13000499999998</v>
      </c>
      <c r="H551">
        <v>364.13000499999998</v>
      </c>
      <c r="I551">
        <f t="shared" si="34"/>
        <v>7.7000119999999583</v>
      </c>
      <c r="J551">
        <v>7604400</v>
      </c>
      <c r="K551">
        <v>-0.10025706940874</v>
      </c>
      <c r="L551">
        <v>-39</v>
      </c>
      <c r="M551">
        <f t="shared" si="35"/>
        <v>2.1603153918643311E-2</v>
      </c>
      <c r="N551">
        <v>389</v>
      </c>
    </row>
    <row r="552" spans="1:14" x14ac:dyDescent="0.25">
      <c r="A552" s="1">
        <v>43901</v>
      </c>
      <c r="B552" s="1">
        <f t="shared" si="32"/>
        <v>2020</v>
      </c>
      <c r="C552" s="1" t="str">
        <f t="shared" si="33"/>
        <v>Mar</v>
      </c>
      <c r="D552">
        <v>358.92001299999998</v>
      </c>
      <c r="E552">
        <v>362.98001099999999</v>
      </c>
      <c r="F552">
        <v>344.790009</v>
      </c>
      <c r="G552">
        <v>349.92001299999998</v>
      </c>
      <c r="H552">
        <v>349.92001299999998</v>
      </c>
      <c r="I552">
        <f t="shared" si="34"/>
        <v>-9</v>
      </c>
      <c r="J552">
        <v>6036000</v>
      </c>
      <c r="K552">
        <v>-0.127320954907161</v>
      </c>
      <c r="L552">
        <v>-48</v>
      </c>
      <c r="M552">
        <f t="shared" si="35"/>
        <v>-2.5075224768812208E-2</v>
      </c>
      <c r="N552">
        <v>377</v>
      </c>
    </row>
    <row r="553" spans="1:14" x14ac:dyDescent="0.25">
      <c r="A553" s="1">
        <v>43902</v>
      </c>
      <c r="B553" s="1">
        <f t="shared" si="32"/>
        <v>2020</v>
      </c>
      <c r="C553" s="1" t="str">
        <f t="shared" si="33"/>
        <v>Mar</v>
      </c>
      <c r="D553">
        <v>326.5</v>
      </c>
      <c r="E553">
        <v>335.72000100000002</v>
      </c>
      <c r="F553">
        <v>307.32000699999998</v>
      </c>
      <c r="G553">
        <v>315.25</v>
      </c>
      <c r="H553">
        <v>315.25</v>
      </c>
      <c r="I553">
        <f t="shared" si="34"/>
        <v>-11.25</v>
      </c>
      <c r="J553">
        <v>12071600</v>
      </c>
      <c r="K553">
        <v>-0.195744680851063</v>
      </c>
      <c r="L553">
        <v>-92</v>
      </c>
      <c r="M553">
        <f t="shared" si="35"/>
        <v>-3.4456355283307809E-2</v>
      </c>
      <c r="N553">
        <v>470</v>
      </c>
    </row>
    <row r="554" spans="1:14" x14ac:dyDescent="0.25">
      <c r="A554" s="1">
        <v>43903</v>
      </c>
      <c r="B554" s="1">
        <f t="shared" si="32"/>
        <v>2020</v>
      </c>
      <c r="C554" s="1" t="str">
        <f t="shared" si="33"/>
        <v>Mar</v>
      </c>
      <c r="D554">
        <v>330.51001000000002</v>
      </c>
      <c r="E554">
        <v>336.42001299999998</v>
      </c>
      <c r="F554">
        <v>307.39001500000001</v>
      </c>
      <c r="G554">
        <v>336.29998799999998</v>
      </c>
      <c r="H554">
        <v>336.29998799999998</v>
      </c>
      <c r="I554">
        <f t="shared" si="34"/>
        <v>5.7899779999999623</v>
      </c>
      <c r="J554">
        <v>9458200</v>
      </c>
      <c r="K554">
        <v>-0.15472779369627501</v>
      </c>
      <c r="L554">
        <v>-54</v>
      </c>
      <c r="M554">
        <f t="shared" si="35"/>
        <v>1.7518313590562544E-2</v>
      </c>
      <c r="N554">
        <v>349</v>
      </c>
    </row>
    <row r="555" spans="1:14" x14ac:dyDescent="0.25">
      <c r="A555" s="1">
        <v>43906</v>
      </c>
      <c r="B555" s="1">
        <f t="shared" si="32"/>
        <v>2020</v>
      </c>
      <c r="C555" s="1" t="str">
        <f t="shared" si="33"/>
        <v>Mar</v>
      </c>
      <c r="D555">
        <v>306.63000499999998</v>
      </c>
      <c r="E555">
        <v>334.35000600000001</v>
      </c>
      <c r="F555">
        <v>294.75</v>
      </c>
      <c r="G555">
        <v>298.83999599999999</v>
      </c>
      <c r="H555">
        <v>298.83999599999999</v>
      </c>
      <c r="I555">
        <f t="shared" si="34"/>
        <v>-7.7900089999999977</v>
      </c>
      <c r="J555">
        <v>10559900</v>
      </c>
      <c r="K555">
        <v>-0.14397905759162299</v>
      </c>
      <c r="L555">
        <v>-55</v>
      </c>
      <c r="M555">
        <f t="shared" si="35"/>
        <v>-2.5405240429748545E-2</v>
      </c>
      <c r="N555">
        <v>382</v>
      </c>
    </row>
    <row r="556" spans="1:14" x14ac:dyDescent="0.25">
      <c r="A556" s="1">
        <v>43907</v>
      </c>
      <c r="B556" s="1">
        <f t="shared" si="32"/>
        <v>2020</v>
      </c>
      <c r="C556" s="1" t="str">
        <f t="shared" si="33"/>
        <v>Mar</v>
      </c>
      <c r="D556">
        <v>306.19000199999999</v>
      </c>
      <c r="E556">
        <v>322.89999399999999</v>
      </c>
      <c r="F556">
        <v>290.25</v>
      </c>
      <c r="G556">
        <v>319.75</v>
      </c>
      <c r="H556">
        <v>319.75</v>
      </c>
      <c r="I556">
        <f t="shared" si="34"/>
        <v>13.559998000000007</v>
      </c>
      <c r="J556">
        <v>10013900</v>
      </c>
      <c r="K556">
        <v>-0.16886543535619999</v>
      </c>
      <c r="L556">
        <v>-64</v>
      </c>
      <c r="M556">
        <f t="shared" si="35"/>
        <v>4.428622068463231E-2</v>
      </c>
      <c r="N556">
        <v>379</v>
      </c>
    </row>
    <row r="557" spans="1:14" x14ac:dyDescent="0.25">
      <c r="A557" s="1">
        <v>43908</v>
      </c>
      <c r="B557" s="1">
        <f t="shared" si="32"/>
        <v>2020</v>
      </c>
      <c r="C557" s="1" t="str">
        <f t="shared" si="33"/>
        <v>Mar</v>
      </c>
      <c r="D557">
        <v>302.39999399999999</v>
      </c>
      <c r="E557">
        <v>331.57998700000002</v>
      </c>
      <c r="F557">
        <v>300</v>
      </c>
      <c r="G557">
        <v>315.47000100000002</v>
      </c>
      <c r="H557">
        <v>315.47000100000002</v>
      </c>
      <c r="I557">
        <f t="shared" si="34"/>
        <v>13.070007000000032</v>
      </c>
      <c r="J557">
        <v>12593600</v>
      </c>
      <c r="K557">
        <v>-0.157894736842105</v>
      </c>
      <c r="L557">
        <v>-66</v>
      </c>
      <c r="M557">
        <f t="shared" si="35"/>
        <v>4.3220923476605735E-2</v>
      </c>
      <c r="N557">
        <v>418</v>
      </c>
    </row>
    <row r="558" spans="1:14" x14ac:dyDescent="0.25">
      <c r="A558" s="1">
        <v>43909</v>
      </c>
      <c r="B558" s="1">
        <f t="shared" si="32"/>
        <v>2020</v>
      </c>
      <c r="C558" s="1" t="str">
        <f t="shared" si="33"/>
        <v>Mar</v>
      </c>
      <c r="D558">
        <v>324.32998700000002</v>
      </c>
      <c r="E558">
        <v>348.51001000000002</v>
      </c>
      <c r="F558">
        <v>316.82000699999998</v>
      </c>
      <c r="G558">
        <v>332.02999899999998</v>
      </c>
      <c r="H558">
        <v>332.02999899999998</v>
      </c>
      <c r="I558">
        <f t="shared" si="34"/>
        <v>7.7000119999999583</v>
      </c>
      <c r="J558">
        <v>10616000</v>
      </c>
      <c r="K558">
        <v>-0.13917525773195799</v>
      </c>
      <c r="L558">
        <v>-54</v>
      </c>
      <c r="M558">
        <f t="shared" si="35"/>
        <v>2.3741289145736495E-2</v>
      </c>
      <c r="N558">
        <v>388</v>
      </c>
    </row>
    <row r="559" spans="1:14" x14ac:dyDescent="0.25">
      <c r="A559" s="1">
        <v>43910</v>
      </c>
      <c r="B559" s="1">
        <f t="shared" si="32"/>
        <v>2020</v>
      </c>
      <c r="C559" s="1" t="str">
        <f t="shared" si="33"/>
        <v>Mar</v>
      </c>
      <c r="D559">
        <v>342.30999800000001</v>
      </c>
      <c r="E559">
        <v>350.48998999999998</v>
      </c>
      <c r="F559">
        <v>332</v>
      </c>
      <c r="G559">
        <v>332.82998700000002</v>
      </c>
      <c r="H559">
        <v>332.82998700000002</v>
      </c>
      <c r="I559">
        <f t="shared" si="34"/>
        <v>-9.4800109999999904</v>
      </c>
      <c r="J559">
        <v>10853800</v>
      </c>
      <c r="K559">
        <v>-0.146964856230031</v>
      </c>
      <c r="L559">
        <v>-46</v>
      </c>
      <c r="M559">
        <f t="shared" si="35"/>
        <v>-2.7694227616454223E-2</v>
      </c>
      <c r="N559">
        <v>313</v>
      </c>
    </row>
    <row r="560" spans="1:14" x14ac:dyDescent="0.25">
      <c r="A560" s="1">
        <v>43913</v>
      </c>
      <c r="B560" s="1">
        <f t="shared" si="32"/>
        <v>2020</v>
      </c>
      <c r="C560" s="1" t="str">
        <f t="shared" si="33"/>
        <v>Mar</v>
      </c>
      <c r="D560">
        <v>347.89001500000001</v>
      </c>
      <c r="E560">
        <v>366.10998499999999</v>
      </c>
      <c r="F560">
        <v>340.88000499999998</v>
      </c>
      <c r="G560">
        <v>360.26998900000001</v>
      </c>
      <c r="H560">
        <v>360.26998900000001</v>
      </c>
      <c r="I560">
        <f t="shared" si="34"/>
        <v>12.379974000000004</v>
      </c>
      <c r="J560">
        <v>13449400</v>
      </c>
      <c r="K560">
        <v>-0.106145251396648</v>
      </c>
      <c r="L560">
        <v>-57</v>
      </c>
      <c r="M560">
        <f t="shared" si="35"/>
        <v>3.5585884809025074E-2</v>
      </c>
      <c r="N560">
        <v>537</v>
      </c>
    </row>
    <row r="561" spans="1:14" x14ac:dyDescent="0.25">
      <c r="A561" s="1">
        <v>43914</v>
      </c>
      <c r="B561" s="1">
        <f t="shared" si="32"/>
        <v>2020</v>
      </c>
      <c r="C561" s="1" t="str">
        <f t="shared" si="33"/>
        <v>Mar</v>
      </c>
      <c r="D561">
        <v>369.98998999999998</v>
      </c>
      <c r="E561">
        <v>372.92999300000002</v>
      </c>
      <c r="F561">
        <v>353.02999899999998</v>
      </c>
      <c r="G561">
        <v>357.32000699999998</v>
      </c>
      <c r="H561">
        <v>357.32000699999998</v>
      </c>
      <c r="I561">
        <f t="shared" si="34"/>
        <v>-12.669983000000002</v>
      </c>
      <c r="J561">
        <v>11638700</v>
      </c>
      <c r="K561">
        <v>-0.12756264236902001</v>
      </c>
      <c r="L561">
        <v>-56</v>
      </c>
      <c r="M561">
        <f t="shared" si="35"/>
        <v>-3.4244123739671992E-2</v>
      </c>
      <c r="N561">
        <v>439</v>
      </c>
    </row>
    <row r="562" spans="1:14" x14ac:dyDescent="0.25">
      <c r="A562" s="1">
        <v>43915</v>
      </c>
      <c r="B562" s="1">
        <f t="shared" si="32"/>
        <v>2020</v>
      </c>
      <c r="C562" s="1" t="str">
        <f t="shared" si="33"/>
        <v>Mar</v>
      </c>
      <c r="D562">
        <v>361.01998900000001</v>
      </c>
      <c r="E562">
        <v>362</v>
      </c>
      <c r="F562">
        <v>339.17001299999998</v>
      </c>
      <c r="G562">
        <v>342.39001500000001</v>
      </c>
      <c r="H562">
        <v>342.39001500000001</v>
      </c>
      <c r="I562">
        <f t="shared" si="34"/>
        <v>-18.629974000000004</v>
      </c>
      <c r="J562">
        <v>8767200</v>
      </c>
      <c r="K562">
        <v>-0.13259668508287201</v>
      </c>
      <c r="L562">
        <v>-48</v>
      </c>
      <c r="M562">
        <f t="shared" si="35"/>
        <v>-5.1603718817907346E-2</v>
      </c>
      <c r="N562">
        <v>362</v>
      </c>
    </row>
    <row r="563" spans="1:14" x14ac:dyDescent="0.25">
      <c r="A563" s="1">
        <v>43916</v>
      </c>
      <c r="B563" s="1">
        <f t="shared" si="32"/>
        <v>2020</v>
      </c>
      <c r="C563" s="1" t="str">
        <f t="shared" si="33"/>
        <v>Mar</v>
      </c>
      <c r="D563">
        <v>344</v>
      </c>
      <c r="E563">
        <v>363.83999599999999</v>
      </c>
      <c r="F563">
        <v>341.73001099999999</v>
      </c>
      <c r="G563">
        <v>362.98998999999998</v>
      </c>
      <c r="H563">
        <v>362.98998999999998</v>
      </c>
      <c r="I563">
        <f t="shared" si="34"/>
        <v>18.989989999999977</v>
      </c>
      <c r="J563">
        <v>7229600</v>
      </c>
      <c r="K563">
        <v>-0.101398601398601</v>
      </c>
      <c r="L563">
        <v>-29</v>
      </c>
      <c r="M563">
        <f t="shared" si="35"/>
        <v>5.5203459302325515E-2</v>
      </c>
      <c r="N563">
        <v>286</v>
      </c>
    </row>
    <row r="564" spans="1:14" x14ac:dyDescent="0.25">
      <c r="A564" s="1">
        <v>43917</v>
      </c>
      <c r="B564" s="1">
        <f t="shared" si="32"/>
        <v>2020</v>
      </c>
      <c r="C564" s="1" t="str">
        <f t="shared" si="33"/>
        <v>Mar</v>
      </c>
      <c r="D564">
        <v>359.08999599999999</v>
      </c>
      <c r="E564">
        <v>368.55999800000001</v>
      </c>
      <c r="F564">
        <v>353</v>
      </c>
      <c r="G564">
        <v>357.11999500000002</v>
      </c>
      <c r="H564">
        <v>357.11999500000002</v>
      </c>
      <c r="I564">
        <f t="shared" si="34"/>
        <v>-1.9700009999999679</v>
      </c>
      <c r="J564">
        <v>7948800</v>
      </c>
      <c r="K564">
        <v>-2.4390243902439001E-2</v>
      </c>
      <c r="L564">
        <v>-7</v>
      </c>
      <c r="M564">
        <f t="shared" si="35"/>
        <v>-5.4860926841302704E-3</v>
      </c>
      <c r="N564">
        <v>287</v>
      </c>
    </row>
    <row r="565" spans="1:14" x14ac:dyDescent="0.25">
      <c r="A565" s="1">
        <v>43920</v>
      </c>
      <c r="B565" s="1">
        <f t="shared" si="32"/>
        <v>2020</v>
      </c>
      <c r="C565" s="1" t="str">
        <f t="shared" si="33"/>
        <v>Mar</v>
      </c>
      <c r="D565">
        <v>363</v>
      </c>
      <c r="E565">
        <v>377.79998799999998</v>
      </c>
      <c r="F565">
        <v>361.17001299999998</v>
      </c>
      <c r="G565">
        <v>370.959991</v>
      </c>
      <c r="H565">
        <v>370.959991</v>
      </c>
      <c r="I565">
        <f t="shared" si="34"/>
        <v>7.9599910000000023</v>
      </c>
      <c r="J565">
        <v>8622000</v>
      </c>
      <c r="K565">
        <v>-8.1920903954802199E-2</v>
      </c>
      <c r="L565">
        <v>-29</v>
      </c>
      <c r="M565">
        <f t="shared" si="35"/>
        <v>2.1928349862258958E-2</v>
      </c>
      <c r="N565">
        <v>354</v>
      </c>
    </row>
    <row r="566" spans="1:14" x14ac:dyDescent="0.25">
      <c r="A566" s="1">
        <v>43921</v>
      </c>
      <c r="B566" s="1">
        <f t="shared" si="32"/>
        <v>2020</v>
      </c>
      <c r="C566" s="1" t="str">
        <f t="shared" si="33"/>
        <v>Mar</v>
      </c>
      <c r="D566">
        <v>367.92999300000002</v>
      </c>
      <c r="E566">
        <v>383.01001000000002</v>
      </c>
      <c r="F566">
        <v>366.44000199999999</v>
      </c>
      <c r="G566">
        <v>375.5</v>
      </c>
      <c r="H566">
        <v>375.5</v>
      </c>
      <c r="I566">
        <f t="shared" si="34"/>
        <v>7.5700069999999755</v>
      </c>
      <c r="J566">
        <v>9366500</v>
      </c>
      <c r="K566">
        <v>-8.0357142857142794E-2</v>
      </c>
      <c r="L566">
        <v>-27</v>
      </c>
      <c r="M566">
        <f t="shared" si="35"/>
        <v>2.05745852309463E-2</v>
      </c>
      <c r="N566">
        <v>336</v>
      </c>
    </row>
    <row r="567" spans="1:14" x14ac:dyDescent="0.25">
      <c r="A567" s="1">
        <v>43922</v>
      </c>
      <c r="B567" s="1">
        <f t="shared" si="32"/>
        <v>2020</v>
      </c>
      <c r="C567" s="1" t="str">
        <f t="shared" si="33"/>
        <v>Apr</v>
      </c>
      <c r="D567">
        <v>376.04998799999998</v>
      </c>
      <c r="E567">
        <v>380.23001099999999</v>
      </c>
      <c r="F567">
        <v>361.01998900000001</v>
      </c>
      <c r="G567">
        <v>364.07998700000002</v>
      </c>
      <c r="H567">
        <v>364.07998700000002</v>
      </c>
      <c r="I567">
        <f t="shared" si="34"/>
        <v>-11.970000999999968</v>
      </c>
      <c r="J567">
        <v>6672500</v>
      </c>
      <c r="K567">
        <v>-6.0060060060059997E-2</v>
      </c>
      <c r="L567">
        <v>-20</v>
      </c>
      <c r="M567">
        <f t="shared" si="35"/>
        <v>-3.1830877229013413E-2</v>
      </c>
      <c r="N567">
        <v>333</v>
      </c>
    </row>
    <row r="568" spans="1:14" x14ac:dyDescent="0.25">
      <c r="A568" s="1">
        <v>43923</v>
      </c>
      <c r="B568" s="1">
        <f t="shared" si="32"/>
        <v>2020</v>
      </c>
      <c r="C568" s="1" t="str">
        <f t="shared" si="33"/>
        <v>Apr</v>
      </c>
      <c r="D568">
        <v>364.07998700000002</v>
      </c>
      <c r="E568">
        <v>370.98998999999998</v>
      </c>
      <c r="F568">
        <v>360.05999800000001</v>
      </c>
      <c r="G568">
        <v>370.07998700000002</v>
      </c>
      <c r="H568">
        <v>370.07998700000002</v>
      </c>
      <c r="I568">
        <f t="shared" si="34"/>
        <v>6</v>
      </c>
      <c r="J568">
        <v>4592500</v>
      </c>
      <c r="K568">
        <v>-0.123919308357348</v>
      </c>
      <c r="L568">
        <v>-43</v>
      </c>
      <c r="M568">
        <f t="shared" si="35"/>
        <v>1.6479895117113372E-2</v>
      </c>
      <c r="N568">
        <v>347</v>
      </c>
    </row>
    <row r="569" spans="1:14" x14ac:dyDescent="0.25">
      <c r="A569" s="1">
        <v>43924</v>
      </c>
      <c r="B569" s="1">
        <f t="shared" si="32"/>
        <v>2020</v>
      </c>
      <c r="C569" s="1" t="str">
        <f t="shared" si="33"/>
        <v>Apr</v>
      </c>
      <c r="D569">
        <v>367.47000100000002</v>
      </c>
      <c r="E569">
        <v>370.89999399999999</v>
      </c>
      <c r="F569">
        <v>357.51001000000002</v>
      </c>
      <c r="G569">
        <v>361.76001000000002</v>
      </c>
      <c r="H569">
        <v>361.76001000000002</v>
      </c>
      <c r="I569">
        <f t="shared" si="34"/>
        <v>-5.7099910000000023</v>
      </c>
      <c r="J569">
        <v>4860800</v>
      </c>
      <c r="K569">
        <v>-9.5617529880478003E-2</v>
      </c>
      <c r="L569">
        <v>-24</v>
      </c>
      <c r="M569">
        <f t="shared" si="35"/>
        <v>-1.5538658895859099E-2</v>
      </c>
      <c r="N569">
        <v>251</v>
      </c>
    </row>
    <row r="570" spans="1:14" x14ac:dyDescent="0.25">
      <c r="A570" s="1">
        <v>43927</v>
      </c>
      <c r="B570" s="1">
        <f t="shared" si="32"/>
        <v>2020</v>
      </c>
      <c r="C570" s="1" t="str">
        <f t="shared" si="33"/>
        <v>Apr</v>
      </c>
      <c r="D570">
        <v>365.22000100000002</v>
      </c>
      <c r="E570">
        <v>380.290009</v>
      </c>
      <c r="F570">
        <v>361.709991</v>
      </c>
      <c r="G570">
        <v>379.959991</v>
      </c>
      <c r="H570">
        <v>379.959991</v>
      </c>
      <c r="I570">
        <f t="shared" si="34"/>
        <v>14.739989999999977</v>
      </c>
      <c r="J570">
        <v>8183900</v>
      </c>
      <c r="K570">
        <v>-6.9587628865979301E-2</v>
      </c>
      <c r="L570">
        <v>-27</v>
      </c>
      <c r="M570">
        <f t="shared" si="35"/>
        <v>4.0359208038006592E-2</v>
      </c>
      <c r="N570">
        <v>388</v>
      </c>
    </row>
    <row r="571" spans="1:14" x14ac:dyDescent="0.25">
      <c r="A571" s="1">
        <v>43928</v>
      </c>
      <c r="B571" s="1">
        <f t="shared" si="32"/>
        <v>2020</v>
      </c>
      <c r="C571" s="1" t="str">
        <f t="shared" si="33"/>
        <v>Apr</v>
      </c>
      <c r="D571">
        <v>380</v>
      </c>
      <c r="E571">
        <v>381.32998700000002</v>
      </c>
      <c r="F571">
        <v>369.33999599999999</v>
      </c>
      <c r="G571">
        <v>372.27999899999998</v>
      </c>
      <c r="H571">
        <v>372.27999899999998</v>
      </c>
      <c r="I571">
        <f t="shared" si="34"/>
        <v>-7.7200010000000248</v>
      </c>
      <c r="J571">
        <v>7046400</v>
      </c>
      <c r="K571">
        <v>-0.13043478260869501</v>
      </c>
      <c r="L571">
        <v>-51</v>
      </c>
      <c r="M571">
        <f t="shared" si="35"/>
        <v>-2.0315792105263224E-2</v>
      </c>
      <c r="N571">
        <v>391</v>
      </c>
    </row>
    <row r="572" spans="1:14" x14ac:dyDescent="0.25">
      <c r="A572" s="1">
        <v>43929</v>
      </c>
      <c r="B572" s="1">
        <f t="shared" si="32"/>
        <v>2020</v>
      </c>
      <c r="C572" s="1" t="str">
        <f t="shared" si="33"/>
        <v>Apr</v>
      </c>
      <c r="D572">
        <v>374.01001000000002</v>
      </c>
      <c r="E572">
        <v>378.39001500000001</v>
      </c>
      <c r="F572">
        <v>368.30999800000001</v>
      </c>
      <c r="G572">
        <v>371.11999500000002</v>
      </c>
      <c r="H572">
        <v>371.11999500000002</v>
      </c>
      <c r="I572">
        <f t="shared" si="34"/>
        <v>-2.8900150000000053</v>
      </c>
      <c r="J572">
        <v>6908900</v>
      </c>
      <c r="K572">
        <v>-0.11868686868686799</v>
      </c>
      <c r="L572">
        <v>-47</v>
      </c>
      <c r="M572">
        <f t="shared" si="35"/>
        <v>-7.7271060205046519E-3</v>
      </c>
      <c r="N572">
        <v>396</v>
      </c>
    </row>
    <row r="573" spans="1:14" x14ac:dyDescent="0.25">
      <c r="A573" s="1">
        <v>43930</v>
      </c>
      <c r="B573" s="1">
        <f t="shared" si="32"/>
        <v>2020</v>
      </c>
      <c r="C573" s="1" t="str">
        <f t="shared" si="33"/>
        <v>Apr</v>
      </c>
      <c r="D573">
        <v>371.05999800000001</v>
      </c>
      <c r="E573">
        <v>372.10000600000001</v>
      </c>
      <c r="F573">
        <v>363.02999899999998</v>
      </c>
      <c r="G573">
        <v>370.72000100000002</v>
      </c>
      <c r="H573">
        <v>370.72000100000002</v>
      </c>
      <c r="I573">
        <f t="shared" si="34"/>
        <v>-0.33999699999998256</v>
      </c>
      <c r="J573">
        <v>7711300</v>
      </c>
      <c r="K573">
        <v>-6.6481994459833799E-2</v>
      </c>
      <c r="L573">
        <v>-24</v>
      </c>
      <c r="M573">
        <f t="shared" si="35"/>
        <v>-9.1628578082400178E-4</v>
      </c>
      <c r="N573">
        <v>361</v>
      </c>
    </row>
    <row r="574" spans="1:14" x14ac:dyDescent="0.25">
      <c r="A574" s="1">
        <v>43934</v>
      </c>
      <c r="B574" s="1">
        <f t="shared" si="32"/>
        <v>2020</v>
      </c>
      <c r="C574" s="1" t="str">
        <f t="shared" si="33"/>
        <v>Apr</v>
      </c>
      <c r="D574">
        <v>371.30999800000001</v>
      </c>
      <c r="E574">
        <v>400.51001000000002</v>
      </c>
      <c r="F574">
        <v>367.70001200000002</v>
      </c>
      <c r="G574">
        <v>396.72000100000002</v>
      </c>
      <c r="H574">
        <v>396.72000100000002</v>
      </c>
      <c r="I574">
        <f t="shared" si="34"/>
        <v>25.410003000000017</v>
      </c>
      <c r="J574">
        <v>11692900</v>
      </c>
      <c r="K574">
        <v>-1.18343195266272E-2</v>
      </c>
      <c r="L574">
        <v>-12</v>
      </c>
      <c r="M574">
        <f t="shared" si="35"/>
        <v>6.8433392951622096E-2</v>
      </c>
      <c r="N574">
        <v>1014</v>
      </c>
    </row>
    <row r="575" spans="1:14" x14ac:dyDescent="0.25">
      <c r="A575" s="1">
        <v>43935</v>
      </c>
      <c r="B575" s="1">
        <f t="shared" si="32"/>
        <v>2020</v>
      </c>
      <c r="C575" s="1" t="str">
        <f t="shared" si="33"/>
        <v>Apr</v>
      </c>
      <c r="D575">
        <v>397.5</v>
      </c>
      <c r="E575">
        <v>417.82000699999998</v>
      </c>
      <c r="F575">
        <v>394.85000600000001</v>
      </c>
      <c r="G575">
        <v>413.54998799999998</v>
      </c>
      <c r="H575">
        <v>413.54998799999998</v>
      </c>
      <c r="I575">
        <f t="shared" si="34"/>
        <v>16.049987999999985</v>
      </c>
      <c r="J575">
        <v>11581000</v>
      </c>
      <c r="K575">
        <v>-2.3557126030624199E-2</v>
      </c>
      <c r="L575">
        <v>-20</v>
      </c>
      <c r="M575">
        <f t="shared" si="35"/>
        <v>4.0377328301886756E-2</v>
      </c>
      <c r="N575">
        <v>849</v>
      </c>
    </row>
    <row r="576" spans="1:14" x14ac:dyDescent="0.25">
      <c r="A576" s="1">
        <v>43936</v>
      </c>
      <c r="B576" s="1">
        <f t="shared" si="32"/>
        <v>2020</v>
      </c>
      <c r="C576" s="1" t="str">
        <f t="shared" si="33"/>
        <v>Apr</v>
      </c>
      <c r="D576">
        <v>413</v>
      </c>
      <c r="E576">
        <v>434.98001099999999</v>
      </c>
      <c r="F576">
        <v>412.25</v>
      </c>
      <c r="G576">
        <v>426.75</v>
      </c>
      <c r="H576">
        <v>426.75</v>
      </c>
      <c r="I576">
        <f t="shared" si="34"/>
        <v>13.75</v>
      </c>
      <c r="J576">
        <v>13561200</v>
      </c>
      <c r="K576">
        <v>-2.37868696479543E-2</v>
      </c>
      <c r="L576">
        <v>-25</v>
      </c>
      <c r="M576">
        <f t="shared" si="35"/>
        <v>3.3292978208232446E-2</v>
      </c>
      <c r="N576">
        <v>1051</v>
      </c>
    </row>
    <row r="577" spans="1:14" x14ac:dyDescent="0.25">
      <c r="A577" s="1">
        <v>43937</v>
      </c>
      <c r="B577" s="1">
        <f t="shared" si="32"/>
        <v>2020</v>
      </c>
      <c r="C577" s="1" t="str">
        <f t="shared" si="33"/>
        <v>Apr</v>
      </c>
      <c r="D577">
        <v>437</v>
      </c>
      <c r="E577">
        <v>449.51998900000001</v>
      </c>
      <c r="F577">
        <v>431.60998499999999</v>
      </c>
      <c r="G577">
        <v>439.17001299999998</v>
      </c>
      <c r="H577">
        <v>439.17001299999998</v>
      </c>
      <c r="I577">
        <f t="shared" si="34"/>
        <v>2.1700129999999831</v>
      </c>
      <c r="J577">
        <v>16128700</v>
      </c>
      <c r="K577">
        <v>-9.6719932716568494E-2</v>
      </c>
      <c r="L577">
        <v>-115</v>
      </c>
      <c r="M577">
        <f t="shared" si="35"/>
        <v>4.9657048054919523E-3</v>
      </c>
      <c r="N577">
        <v>1189</v>
      </c>
    </row>
    <row r="578" spans="1:14" x14ac:dyDescent="0.25">
      <c r="A578" s="1">
        <v>43938</v>
      </c>
      <c r="B578" s="1">
        <f t="shared" ref="B578:B641" si="36">YEAR(A578)</f>
        <v>2020</v>
      </c>
      <c r="C578" s="1" t="str">
        <f t="shared" ref="C578:C641" si="37">TEXT(A578,"mmm")</f>
        <v>Apr</v>
      </c>
      <c r="D578">
        <v>431</v>
      </c>
      <c r="E578">
        <v>432</v>
      </c>
      <c r="F578">
        <v>414.70001200000002</v>
      </c>
      <c r="G578">
        <v>422.959991</v>
      </c>
      <c r="H578">
        <v>422.959991</v>
      </c>
      <c r="I578">
        <f t="shared" ref="I578:I641" si="38">G578-D578</f>
        <v>-8.0400089999999977</v>
      </c>
      <c r="J578">
        <v>12616300</v>
      </c>
      <c r="K578">
        <v>-6.4320388349514507E-2</v>
      </c>
      <c r="L578">
        <v>-53</v>
      </c>
      <c r="M578">
        <f t="shared" ref="M578:M641" si="39">(G578-D578)/D578</f>
        <v>-1.8654313225057999E-2</v>
      </c>
      <c r="N578">
        <v>824</v>
      </c>
    </row>
    <row r="579" spans="1:14" x14ac:dyDescent="0.25">
      <c r="A579" s="1">
        <v>43941</v>
      </c>
      <c r="B579" s="1">
        <f t="shared" si="36"/>
        <v>2020</v>
      </c>
      <c r="C579" s="1" t="str">
        <f t="shared" si="37"/>
        <v>Apr</v>
      </c>
      <c r="D579">
        <v>435.17001299999998</v>
      </c>
      <c r="E579">
        <v>444.48998999999998</v>
      </c>
      <c r="F579">
        <v>430.55999800000001</v>
      </c>
      <c r="G579">
        <v>437.48998999999998</v>
      </c>
      <c r="H579">
        <v>437.48998999999998</v>
      </c>
      <c r="I579">
        <f t="shared" si="38"/>
        <v>2.3199769999999944</v>
      </c>
      <c r="J579">
        <v>12655800</v>
      </c>
      <c r="K579">
        <v>-6.25E-2</v>
      </c>
      <c r="L579">
        <v>-54</v>
      </c>
      <c r="M579">
        <f t="shared" si="39"/>
        <v>5.3311968442090116E-3</v>
      </c>
      <c r="N579">
        <v>864</v>
      </c>
    </row>
    <row r="580" spans="1:14" x14ac:dyDescent="0.25">
      <c r="A580" s="1">
        <v>43942</v>
      </c>
      <c r="B580" s="1">
        <f t="shared" si="36"/>
        <v>2020</v>
      </c>
      <c r="C580" s="1" t="str">
        <f t="shared" si="37"/>
        <v>Apr</v>
      </c>
      <c r="D580">
        <v>444.76998900000001</v>
      </c>
      <c r="E580">
        <v>447</v>
      </c>
      <c r="F580">
        <v>425.60000600000001</v>
      </c>
      <c r="G580">
        <v>433.82998700000002</v>
      </c>
      <c r="H580">
        <v>433.82998700000002</v>
      </c>
      <c r="I580">
        <f t="shared" si="38"/>
        <v>-10.940001999999993</v>
      </c>
      <c r="J580">
        <v>23177600</v>
      </c>
      <c r="K580">
        <v>-7.7268195413758706E-2</v>
      </c>
      <c r="L580">
        <v>-155</v>
      </c>
      <c r="M580">
        <f t="shared" si="39"/>
        <v>-2.4596987815200796E-2</v>
      </c>
      <c r="N580">
        <v>2006</v>
      </c>
    </row>
    <row r="581" spans="1:14" x14ac:dyDescent="0.25">
      <c r="A581" s="1">
        <v>43943</v>
      </c>
      <c r="B581" s="1">
        <f t="shared" si="36"/>
        <v>2020</v>
      </c>
      <c r="C581" s="1" t="str">
        <f t="shared" si="37"/>
        <v>Apr</v>
      </c>
      <c r="D581">
        <v>429.73001099999999</v>
      </c>
      <c r="E581">
        <v>433</v>
      </c>
      <c r="F581">
        <v>413</v>
      </c>
      <c r="G581">
        <v>421.42001299999998</v>
      </c>
      <c r="H581">
        <v>421.42001299999998</v>
      </c>
      <c r="I581">
        <f t="shared" si="38"/>
        <v>-8.3099980000000073</v>
      </c>
      <c r="J581">
        <v>21084800</v>
      </c>
      <c r="K581">
        <v>-8.0561714708056106E-2</v>
      </c>
      <c r="L581">
        <v>-109</v>
      </c>
      <c r="M581">
        <f t="shared" si="39"/>
        <v>-1.9337718537884494E-2</v>
      </c>
      <c r="N581">
        <v>1353</v>
      </c>
    </row>
    <row r="582" spans="1:14" x14ac:dyDescent="0.25">
      <c r="A582" s="1">
        <v>43944</v>
      </c>
      <c r="B582" s="1">
        <f t="shared" si="36"/>
        <v>2020</v>
      </c>
      <c r="C582" s="1" t="str">
        <f t="shared" si="37"/>
        <v>Apr</v>
      </c>
      <c r="D582">
        <v>419.26001000000002</v>
      </c>
      <c r="E582">
        <v>438.41000400000001</v>
      </c>
      <c r="F582">
        <v>419.26001000000002</v>
      </c>
      <c r="G582">
        <v>426.70001200000002</v>
      </c>
      <c r="H582">
        <v>426.70001200000002</v>
      </c>
      <c r="I582">
        <f t="shared" si="38"/>
        <v>7.4400019999999927</v>
      </c>
      <c r="J582">
        <v>13952300</v>
      </c>
      <c r="K582">
        <v>-5.4172767203513897E-2</v>
      </c>
      <c r="L582">
        <v>-37</v>
      </c>
      <c r="M582">
        <f t="shared" si="39"/>
        <v>1.7745556033355037E-2</v>
      </c>
      <c r="N582">
        <v>683</v>
      </c>
    </row>
    <row r="583" spans="1:14" x14ac:dyDescent="0.25">
      <c r="A583" s="1">
        <v>43945</v>
      </c>
      <c r="B583" s="1">
        <f t="shared" si="36"/>
        <v>2020</v>
      </c>
      <c r="C583" s="1" t="str">
        <f t="shared" si="37"/>
        <v>Apr</v>
      </c>
      <c r="D583">
        <v>425</v>
      </c>
      <c r="E583">
        <v>427.17001299999998</v>
      </c>
      <c r="F583">
        <v>415.88000499999998</v>
      </c>
      <c r="G583">
        <v>424.98998999999998</v>
      </c>
      <c r="H583">
        <v>424.98998999999998</v>
      </c>
      <c r="I583">
        <f t="shared" si="38"/>
        <v>-1.0010000000022501E-2</v>
      </c>
      <c r="J583">
        <v>8658900</v>
      </c>
      <c r="K583">
        <v>-8.2405345211581202E-2</v>
      </c>
      <c r="L583">
        <v>-37</v>
      </c>
      <c r="M583">
        <f t="shared" si="39"/>
        <v>-2.3552941176523531E-5</v>
      </c>
      <c r="N583">
        <v>449</v>
      </c>
    </row>
    <row r="584" spans="1:14" x14ac:dyDescent="0.25">
      <c r="A584" s="1">
        <v>43948</v>
      </c>
      <c r="B584" s="1">
        <f t="shared" si="36"/>
        <v>2020</v>
      </c>
      <c r="C584" s="1" t="str">
        <f t="shared" si="37"/>
        <v>Apr</v>
      </c>
      <c r="D584">
        <v>425</v>
      </c>
      <c r="E584">
        <v>429</v>
      </c>
      <c r="F584">
        <v>420.83999599999999</v>
      </c>
      <c r="G584">
        <v>421.38000499999998</v>
      </c>
      <c r="H584">
        <v>421.38000499999998</v>
      </c>
      <c r="I584">
        <f t="shared" si="38"/>
        <v>-3.6199950000000172</v>
      </c>
      <c r="J584">
        <v>6277500</v>
      </c>
      <c r="K584">
        <v>-5.1851851851851802E-2</v>
      </c>
      <c r="L584">
        <v>-21</v>
      </c>
      <c r="M584">
        <f t="shared" si="39"/>
        <v>-8.5176352941176876E-3</v>
      </c>
      <c r="N584">
        <v>405</v>
      </c>
    </row>
    <row r="585" spans="1:14" x14ac:dyDescent="0.25">
      <c r="A585" s="1">
        <v>43949</v>
      </c>
      <c r="B585" s="1">
        <f t="shared" si="36"/>
        <v>2020</v>
      </c>
      <c r="C585" s="1" t="str">
        <f t="shared" si="37"/>
        <v>Apr</v>
      </c>
      <c r="D585">
        <v>419.98998999999998</v>
      </c>
      <c r="E585">
        <v>421</v>
      </c>
      <c r="F585">
        <v>402.91000400000001</v>
      </c>
      <c r="G585">
        <v>403.82998700000002</v>
      </c>
      <c r="H585">
        <v>403.82998700000002</v>
      </c>
      <c r="I585">
        <f t="shared" si="38"/>
        <v>-16.160002999999961</v>
      </c>
      <c r="J585">
        <v>10101200</v>
      </c>
      <c r="K585">
        <v>-0.110726643598615</v>
      </c>
      <c r="L585">
        <v>-64</v>
      </c>
      <c r="M585">
        <f t="shared" si="39"/>
        <v>-3.8477114656946851E-2</v>
      </c>
      <c r="N585">
        <v>578</v>
      </c>
    </row>
    <row r="586" spans="1:14" x14ac:dyDescent="0.25">
      <c r="A586" s="1">
        <v>43950</v>
      </c>
      <c r="B586" s="1">
        <f t="shared" si="36"/>
        <v>2020</v>
      </c>
      <c r="C586" s="1" t="str">
        <f t="shared" si="37"/>
        <v>Apr</v>
      </c>
      <c r="D586">
        <v>399.52999899999998</v>
      </c>
      <c r="E586">
        <v>415.85998499999999</v>
      </c>
      <c r="F586">
        <v>393.60000600000001</v>
      </c>
      <c r="G586">
        <v>411.89001500000001</v>
      </c>
      <c r="H586">
        <v>411.89001500000001</v>
      </c>
      <c r="I586">
        <f t="shared" si="38"/>
        <v>12.36001600000003</v>
      </c>
      <c r="J586">
        <v>9693100</v>
      </c>
      <c r="K586">
        <v>0</v>
      </c>
      <c r="L586">
        <v>0</v>
      </c>
      <c r="M586">
        <f t="shared" si="39"/>
        <v>3.0936390335985837E-2</v>
      </c>
      <c r="N586">
        <v>501</v>
      </c>
    </row>
    <row r="587" spans="1:14" x14ac:dyDescent="0.25">
      <c r="A587" s="1">
        <v>43951</v>
      </c>
      <c r="B587" s="1">
        <f t="shared" si="36"/>
        <v>2020</v>
      </c>
      <c r="C587" s="1" t="str">
        <f t="shared" si="37"/>
        <v>Apr</v>
      </c>
      <c r="D587">
        <v>410.30999800000001</v>
      </c>
      <c r="E587">
        <v>424.44000199999999</v>
      </c>
      <c r="F587">
        <v>408</v>
      </c>
      <c r="G587">
        <v>419.85000600000001</v>
      </c>
      <c r="H587">
        <v>419.85000600000001</v>
      </c>
      <c r="I587">
        <f t="shared" si="38"/>
        <v>9.5400080000000003</v>
      </c>
      <c r="J587">
        <v>7954000</v>
      </c>
      <c r="K587">
        <v>-5.1339285714285698E-2</v>
      </c>
      <c r="L587">
        <v>-23</v>
      </c>
      <c r="M587">
        <f t="shared" si="39"/>
        <v>2.3250732486416282E-2</v>
      </c>
      <c r="N587">
        <v>448</v>
      </c>
    </row>
    <row r="588" spans="1:14" x14ac:dyDescent="0.25">
      <c r="A588" s="1">
        <v>43952</v>
      </c>
      <c r="B588" s="1">
        <f t="shared" si="36"/>
        <v>2020</v>
      </c>
      <c r="C588" s="1" t="str">
        <f t="shared" si="37"/>
        <v>May</v>
      </c>
      <c r="D588">
        <v>415.10000600000001</v>
      </c>
      <c r="E588">
        <v>427.97000100000002</v>
      </c>
      <c r="F588">
        <v>411.73001099999999</v>
      </c>
      <c r="G588">
        <v>415.26998900000001</v>
      </c>
      <c r="H588">
        <v>415.26998900000001</v>
      </c>
      <c r="I588">
        <f t="shared" si="38"/>
        <v>0.16998300000000199</v>
      </c>
      <c r="J588">
        <v>8299900</v>
      </c>
      <c r="K588">
        <v>-2.9702970297029702E-2</v>
      </c>
      <c r="L588">
        <v>-12</v>
      </c>
      <c r="M588">
        <f t="shared" si="39"/>
        <v>4.0949891000483868E-4</v>
      </c>
      <c r="N588">
        <v>404</v>
      </c>
    </row>
    <row r="589" spans="1:14" x14ac:dyDescent="0.25">
      <c r="A589" s="1">
        <v>43955</v>
      </c>
      <c r="B589" s="1">
        <f t="shared" si="36"/>
        <v>2020</v>
      </c>
      <c r="C589" s="1" t="str">
        <f t="shared" si="37"/>
        <v>May</v>
      </c>
      <c r="D589">
        <v>417.77999899999998</v>
      </c>
      <c r="E589">
        <v>428.540009</v>
      </c>
      <c r="F589">
        <v>414.86999500000002</v>
      </c>
      <c r="G589">
        <v>428.14999399999999</v>
      </c>
      <c r="H589">
        <v>428.14999399999999</v>
      </c>
      <c r="I589">
        <f t="shared" si="38"/>
        <v>10.369995000000017</v>
      </c>
      <c r="J589">
        <v>7799100</v>
      </c>
      <c r="K589">
        <v>-2.04081632653061E-2</v>
      </c>
      <c r="L589">
        <v>-11</v>
      </c>
      <c r="M589">
        <f t="shared" si="39"/>
        <v>2.4821664571836093E-2</v>
      </c>
      <c r="N589">
        <v>539</v>
      </c>
    </row>
    <row r="590" spans="1:14" x14ac:dyDescent="0.25">
      <c r="A590" s="1">
        <v>43956</v>
      </c>
      <c r="B590" s="1">
        <f t="shared" si="36"/>
        <v>2020</v>
      </c>
      <c r="C590" s="1" t="str">
        <f t="shared" si="37"/>
        <v>May</v>
      </c>
      <c r="D590">
        <v>427.55999800000001</v>
      </c>
      <c r="E590">
        <v>431</v>
      </c>
      <c r="F590">
        <v>421.55999800000001</v>
      </c>
      <c r="G590">
        <v>424.67999300000002</v>
      </c>
      <c r="H590">
        <v>424.67999300000002</v>
      </c>
      <c r="I590">
        <f t="shared" si="38"/>
        <v>-2.8800049999999828</v>
      </c>
      <c r="J590">
        <v>6286300</v>
      </c>
      <c r="K590">
        <v>-7.5757575757575704E-2</v>
      </c>
      <c r="L590">
        <v>-40</v>
      </c>
      <c r="M590">
        <f t="shared" si="39"/>
        <v>-6.7359084420240429E-3</v>
      </c>
      <c r="N590">
        <v>528</v>
      </c>
    </row>
    <row r="591" spans="1:14" x14ac:dyDescent="0.25">
      <c r="A591" s="1">
        <v>43957</v>
      </c>
      <c r="B591" s="1">
        <f t="shared" si="36"/>
        <v>2020</v>
      </c>
      <c r="C591" s="1" t="str">
        <f t="shared" si="37"/>
        <v>May</v>
      </c>
      <c r="D591">
        <v>429.29998799999998</v>
      </c>
      <c r="E591">
        <v>439.76998900000001</v>
      </c>
      <c r="F591">
        <v>426.39001500000001</v>
      </c>
      <c r="G591">
        <v>434.26001000000002</v>
      </c>
      <c r="H591">
        <v>434.26001000000002</v>
      </c>
      <c r="I591">
        <f t="shared" si="38"/>
        <v>4.9600220000000377</v>
      </c>
      <c r="J591">
        <v>6660700</v>
      </c>
      <c r="K591">
        <v>-6.2043795620437901E-2</v>
      </c>
      <c r="L591">
        <v>-34</v>
      </c>
      <c r="M591">
        <f t="shared" si="39"/>
        <v>1.1553743626007364E-2</v>
      </c>
      <c r="N591">
        <v>548</v>
      </c>
    </row>
    <row r="592" spans="1:14" x14ac:dyDescent="0.25">
      <c r="A592" s="1">
        <v>43958</v>
      </c>
      <c r="B592" s="1">
        <f t="shared" si="36"/>
        <v>2020</v>
      </c>
      <c r="C592" s="1" t="str">
        <f t="shared" si="37"/>
        <v>May</v>
      </c>
      <c r="D592">
        <v>436.89001500000001</v>
      </c>
      <c r="E592">
        <v>438.88000499999998</v>
      </c>
      <c r="F592">
        <v>430.66000400000001</v>
      </c>
      <c r="G592">
        <v>436.52999899999998</v>
      </c>
      <c r="H592">
        <v>436.52999899999998</v>
      </c>
      <c r="I592">
        <f t="shared" si="38"/>
        <v>-0.36001600000003009</v>
      </c>
      <c r="J592">
        <v>5641900</v>
      </c>
      <c r="K592">
        <v>-5.6603773584905599E-2</v>
      </c>
      <c r="L592">
        <v>-24</v>
      </c>
      <c r="M592">
        <f t="shared" si="39"/>
        <v>-8.2404263690949789E-4</v>
      </c>
      <c r="N592">
        <v>424</v>
      </c>
    </row>
    <row r="593" spans="1:14" x14ac:dyDescent="0.25">
      <c r="A593" s="1">
        <v>43959</v>
      </c>
      <c r="B593" s="1">
        <f t="shared" si="36"/>
        <v>2020</v>
      </c>
      <c r="C593" s="1" t="str">
        <f t="shared" si="37"/>
        <v>May</v>
      </c>
      <c r="D593">
        <v>434.14001500000001</v>
      </c>
      <c r="E593">
        <v>442</v>
      </c>
      <c r="F593">
        <v>433.64001500000001</v>
      </c>
      <c r="G593">
        <v>435.54998799999998</v>
      </c>
      <c r="H593">
        <v>435.54998799999998</v>
      </c>
      <c r="I593">
        <f t="shared" si="38"/>
        <v>1.4099729999999795</v>
      </c>
      <c r="J593">
        <v>5049300</v>
      </c>
      <c r="K593">
        <v>-5.9945504087193402E-2</v>
      </c>
      <c r="L593">
        <v>-22</v>
      </c>
      <c r="M593">
        <f t="shared" si="39"/>
        <v>3.2477379446351645E-3</v>
      </c>
      <c r="N593">
        <v>367</v>
      </c>
    </row>
    <row r="594" spans="1:14" x14ac:dyDescent="0.25">
      <c r="A594" s="1">
        <v>43962</v>
      </c>
      <c r="B594" s="1">
        <f t="shared" si="36"/>
        <v>2020</v>
      </c>
      <c r="C594" s="1" t="str">
        <f t="shared" si="37"/>
        <v>May</v>
      </c>
      <c r="D594">
        <v>436.32998700000002</v>
      </c>
      <c r="E594">
        <v>444.89001500000001</v>
      </c>
      <c r="F594">
        <v>435.55999800000001</v>
      </c>
      <c r="G594">
        <v>440.51998900000001</v>
      </c>
      <c r="H594">
        <v>440.51998900000001</v>
      </c>
      <c r="I594">
        <f t="shared" si="38"/>
        <v>4.1900019999999927</v>
      </c>
      <c r="J594">
        <v>5486000</v>
      </c>
      <c r="K594">
        <v>-4.75059382422802E-2</v>
      </c>
      <c r="L594">
        <v>-20</v>
      </c>
      <c r="M594">
        <f t="shared" si="39"/>
        <v>9.6028284207750145E-3</v>
      </c>
      <c r="N594">
        <v>421</v>
      </c>
    </row>
    <row r="595" spans="1:14" x14ac:dyDescent="0.25">
      <c r="A595" s="1">
        <v>43963</v>
      </c>
      <c r="B595" s="1">
        <f t="shared" si="36"/>
        <v>2020</v>
      </c>
      <c r="C595" s="1" t="str">
        <f t="shared" si="37"/>
        <v>May</v>
      </c>
      <c r="D595">
        <v>442</v>
      </c>
      <c r="E595">
        <v>444.17001299999998</v>
      </c>
      <c r="F595">
        <v>431.35998499999999</v>
      </c>
      <c r="G595">
        <v>431.82000699999998</v>
      </c>
      <c r="H595">
        <v>431.82000699999998</v>
      </c>
      <c r="I595">
        <f t="shared" si="38"/>
        <v>-10.179993000000024</v>
      </c>
      <c r="J595">
        <v>4598200</v>
      </c>
      <c r="K595">
        <v>-3.2467532467532402E-2</v>
      </c>
      <c r="L595">
        <v>-15</v>
      </c>
      <c r="M595">
        <f t="shared" si="39"/>
        <v>-2.3031658371040778E-2</v>
      </c>
      <c r="N595">
        <v>462</v>
      </c>
    </row>
    <row r="596" spans="1:14" x14ac:dyDescent="0.25">
      <c r="A596" s="1">
        <v>43964</v>
      </c>
      <c r="B596" s="1">
        <f t="shared" si="36"/>
        <v>2020</v>
      </c>
      <c r="C596" s="1" t="str">
        <f t="shared" si="37"/>
        <v>May</v>
      </c>
      <c r="D596">
        <v>435.69000199999999</v>
      </c>
      <c r="E596">
        <v>447</v>
      </c>
      <c r="F596">
        <v>427.26998900000001</v>
      </c>
      <c r="G596">
        <v>438.26998900000001</v>
      </c>
      <c r="H596">
        <v>438.26998900000001</v>
      </c>
      <c r="I596">
        <f t="shared" si="38"/>
        <v>2.5799870000000169</v>
      </c>
      <c r="J596">
        <v>7014600</v>
      </c>
      <c r="K596">
        <v>-9.8265895953757204E-2</v>
      </c>
      <c r="L596">
        <v>-51</v>
      </c>
      <c r="M596">
        <f t="shared" si="39"/>
        <v>5.9216116692069904E-3</v>
      </c>
      <c r="N596">
        <v>519</v>
      </c>
    </row>
    <row r="597" spans="1:14" x14ac:dyDescent="0.25">
      <c r="A597" s="1">
        <v>43965</v>
      </c>
      <c r="B597" s="1">
        <f t="shared" si="36"/>
        <v>2020</v>
      </c>
      <c r="C597" s="1" t="str">
        <f t="shared" si="37"/>
        <v>May</v>
      </c>
      <c r="D597">
        <v>444.89999399999999</v>
      </c>
      <c r="E597">
        <v>452.38000499999998</v>
      </c>
      <c r="F597">
        <v>432.82000699999998</v>
      </c>
      <c r="G597">
        <v>441.95001200000002</v>
      </c>
      <c r="H597">
        <v>441.95001200000002</v>
      </c>
      <c r="I597">
        <f t="shared" si="38"/>
        <v>-2.9499819999999772</v>
      </c>
      <c r="J597">
        <v>9007500</v>
      </c>
      <c r="K597">
        <v>-3.9872408293460899E-2</v>
      </c>
      <c r="L597">
        <v>-25</v>
      </c>
      <c r="M597">
        <f t="shared" si="39"/>
        <v>-6.6306631597751317E-3</v>
      </c>
      <c r="N597">
        <v>627</v>
      </c>
    </row>
    <row r="598" spans="1:14" x14ac:dyDescent="0.25">
      <c r="A598" s="1">
        <v>43966</v>
      </c>
      <c r="B598" s="1">
        <f t="shared" si="36"/>
        <v>2020</v>
      </c>
      <c r="C598" s="1" t="str">
        <f t="shared" si="37"/>
        <v>May</v>
      </c>
      <c r="D598">
        <v>440.70001200000002</v>
      </c>
      <c r="E598">
        <v>455</v>
      </c>
      <c r="F598">
        <v>437.51001000000002</v>
      </c>
      <c r="G598">
        <v>454.19000199999999</v>
      </c>
      <c r="H598">
        <v>454.19000199999999</v>
      </c>
      <c r="I598">
        <f t="shared" si="38"/>
        <v>13.489989999999977</v>
      </c>
      <c r="J598">
        <v>7244000</v>
      </c>
      <c r="K598">
        <v>-6.0665362035224997E-2</v>
      </c>
      <c r="L598">
        <v>-31</v>
      </c>
      <c r="M598">
        <f t="shared" si="39"/>
        <v>3.0610369032619808E-2</v>
      </c>
      <c r="N598">
        <v>511</v>
      </c>
    </row>
    <row r="599" spans="1:14" x14ac:dyDescent="0.25">
      <c r="A599" s="1">
        <v>43969</v>
      </c>
      <c r="B599" s="1">
        <f t="shared" si="36"/>
        <v>2020</v>
      </c>
      <c r="C599" s="1" t="str">
        <f t="shared" si="37"/>
        <v>May</v>
      </c>
      <c r="D599">
        <v>451.16000400000001</v>
      </c>
      <c r="E599">
        <v>456.35998499999999</v>
      </c>
      <c r="F599">
        <v>443.35000600000001</v>
      </c>
      <c r="G599">
        <v>452.57998700000002</v>
      </c>
      <c r="H599">
        <v>452.57998700000002</v>
      </c>
      <c r="I599">
        <f t="shared" si="38"/>
        <v>1.419983000000002</v>
      </c>
      <c r="J599">
        <v>7773500</v>
      </c>
      <c r="K599">
        <v>-8.6372360844529705E-2</v>
      </c>
      <c r="L599">
        <v>-45</v>
      </c>
      <c r="M599">
        <f t="shared" si="39"/>
        <v>3.1474044405762572E-3</v>
      </c>
      <c r="N599">
        <v>521</v>
      </c>
    </row>
    <row r="600" spans="1:14" x14ac:dyDescent="0.25">
      <c r="A600" s="1">
        <v>43970</v>
      </c>
      <c r="B600" s="1">
        <f t="shared" si="36"/>
        <v>2020</v>
      </c>
      <c r="C600" s="1" t="str">
        <f t="shared" si="37"/>
        <v>May</v>
      </c>
      <c r="D600">
        <v>453.39999399999999</v>
      </c>
      <c r="E600">
        <v>458.97000100000002</v>
      </c>
      <c r="F600">
        <v>450.47000100000002</v>
      </c>
      <c r="G600">
        <v>451.040009</v>
      </c>
      <c r="H600">
        <v>451.040009</v>
      </c>
      <c r="I600">
        <f t="shared" si="38"/>
        <v>-2.3599849999999947</v>
      </c>
      <c r="J600">
        <v>4810500</v>
      </c>
      <c r="K600">
        <v>-6.5268065268065195E-2</v>
      </c>
      <c r="L600">
        <v>-28</v>
      </c>
      <c r="M600">
        <f t="shared" si="39"/>
        <v>-5.2050838800849096E-3</v>
      </c>
      <c r="N600">
        <v>429</v>
      </c>
    </row>
    <row r="601" spans="1:14" x14ac:dyDescent="0.25">
      <c r="A601" s="1">
        <v>43971</v>
      </c>
      <c r="B601" s="1">
        <f t="shared" si="36"/>
        <v>2020</v>
      </c>
      <c r="C601" s="1" t="str">
        <f t="shared" si="37"/>
        <v>May</v>
      </c>
      <c r="D601">
        <v>454.25</v>
      </c>
      <c r="E601">
        <v>455.80999800000001</v>
      </c>
      <c r="F601">
        <v>444</v>
      </c>
      <c r="G601">
        <v>447.67001299999998</v>
      </c>
      <c r="H601">
        <v>447.67001299999998</v>
      </c>
      <c r="I601">
        <f t="shared" si="38"/>
        <v>-6.5799870000000169</v>
      </c>
      <c r="J601">
        <v>5607300</v>
      </c>
      <c r="K601">
        <v>-9.0909090909090898E-2</v>
      </c>
      <c r="L601">
        <v>-38</v>
      </c>
      <c r="M601">
        <f t="shared" si="39"/>
        <v>-1.4485386901486003E-2</v>
      </c>
      <c r="N601">
        <v>418</v>
      </c>
    </row>
    <row r="602" spans="1:14" x14ac:dyDescent="0.25">
      <c r="A602" s="1">
        <v>43972</v>
      </c>
      <c r="B602" s="1">
        <f t="shared" si="36"/>
        <v>2020</v>
      </c>
      <c r="C602" s="1" t="str">
        <f t="shared" si="37"/>
        <v>May</v>
      </c>
      <c r="D602">
        <v>448.55999800000001</v>
      </c>
      <c r="E602">
        <v>448.959991</v>
      </c>
      <c r="F602">
        <v>430.25</v>
      </c>
      <c r="G602">
        <v>436.25</v>
      </c>
      <c r="H602">
        <v>436.25</v>
      </c>
      <c r="I602">
        <f t="shared" si="38"/>
        <v>-12.309998000000007</v>
      </c>
      <c r="J602">
        <v>9117300</v>
      </c>
      <c r="K602">
        <v>-0.10546875</v>
      </c>
      <c r="L602">
        <v>-54</v>
      </c>
      <c r="M602">
        <f t="shared" si="39"/>
        <v>-2.7443370017136499E-2</v>
      </c>
      <c r="N602">
        <v>512</v>
      </c>
    </row>
    <row r="603" spans="1:14" x14ac:dyDescent="0.25">
      <c r="A603" s="1">
        <v>43973</v>
      </c>
      <c r="B603" s="1">
        <f t="shared" si="36"/>
        <v>2020</v>
      </c>
      <c r="C603" s="1" t="str">
        <f t="shared" si="37"/>
        <v>May</v>
      </c>
      <c r="D603">
        <v>437</v>
      </c>
      <c r="E603">
        <v>439.08999599999999</v>
      </c>
      <c r="F603">
        <v>427.17999300000002</v>
      </c>
      <c r="G603">
        <v>429.32000699999998</v>
      </c>
      <c r="H603">
        <v>429.32000699999998</v>
      </c>
      <c r="I603">
        <f t="shared" si="38"/>
        <v>-7.6799930000000245</v>
      </c>
      <c r="J603">
        <v>5422300</v>
      </c>
      <c r="K603">
        <v>-8.4967320261437898E-2</v>
      </c>
      <c r="L603">
        <v>-26</v>
      </c>
      <c r="M603">
        <f t="shared" si="39"/>
        <v>-1.7574354691075572E-2</v>
      </c>
      <c r="N603">
        <v>306</v>
      </c>
    </row>
    <row r="604" spans="1:14" x14ac:dyDescent="0.25">
      <c r="A604" s="1">
        <v>43977</v>
      </c>
      <c r="B604" s="1">
        <f t="shared" si="36"/>
        <v>2020</v>
      </c>
      <c r="C604" s="1" t="str">
        <f t="shared" si="37"/>
        <v>May</v>
      </c>
      <c r="D604">
        <v>427.76998900000001</v>
      </c>
      <c r="E604">
        <v>428.5</v>
      </c>
      <c r="F604">
        <v>413.14001500000001</v>
      </c>
      <c r="G604">
        <v>414.76998900000001</v>
      </c>
      <c r="H604">
        <v>414.76998900000001</v>
      </c>
      <c r="I604">
        <f t="shared" si="38"/>
        <v>-13</v>
      </c>
      <c r="J604">
        <v>7881100</v>
      </c>
      <c r="K604">
        <v>-0.11332007952286199</v>
      </c>
      <c r="L604">
        <v>-57</v>
      </c>
      <c r="M604">
        <f t="shared" si="39"/>
        <v>-3.0390163719503007E-2</v>
      </c>
      <c r="N604">
        <v>503</v>
      </c>
    </row>
    <row r="605" spans="1:14" x14ac:dyDescent="0.25">
      <c r="A605" s="1">
        <v>43978</v>
      </c>
      <c r="B605" s="1">
        <f t="shared" si="36"/>
        <v>2020</v>
      </c>
      <c r="C605" s="1" t="str">
        <f t="shared" si="37"/>
        <v>May</v>
      </c>
      <c r="D605">
        <v>410.38000499999998</v>
      </c>
      <c r="E605">
        <v>420.01998900000001</v>
      </c>
      <c r="F605">
        <v>397.85998499999999</v>
      </c>
      <c r="G605">
        <v>419.89001500000001</v>
      </c>
      <c r="H605">
        <v>419.89001500000001</v>
      </c>
      <c r="I605">
        <f t="shared" si="38"/>
        <v>9.5100100000000225</v>
      </c>
      <c r="J605">
        <v>10446300</v>
      </c>
      <c r="K605">
        <v>-5.6478405315614599E-2</v>
      </c>
      <c r="L605">
        <v>-34</v>
      </c>
      <c r="M605">
        <f t="shared" si="39"/>
        <v>2.3173668025078423E-2</v>
      </c>
      <c r="N605">
        <v>602</v>
      </c>
    </row>
    <row r="606" spans="1:14" x14ac:dyDescent="0.25">
      <c r="A606" s="1">
        <v>43979</v>
      </c>
      <c r="B606" s="1">
        <f t="shared" si="36"/>
        <v>2020</v>
      </c>
      <c r="C606" s="1" t="str">
        <f t="shared" si="37"/>
        <v>May</v>
      </c>
      <c r="D606">
        <v>417.23998999999998</v>
      </c>
      <c r="E606">
        <v>422.36999500000002</v>
      </c>
      <c r="F606">
        <v>411.5</v>
      </c>
      <c r="G606">
        <v>413.44000199999999</v>
      </c>
      <c r="H606">
        <v>413.44000199999999</v>
      </c>
      <c r="I606">
        <f t="shared" si="38"/>
        <v>-3.7999879999999848</v>
      </c>
      <c r="J606">
        <v>5655100</v>
      </c>
      <c r="K606">
        <v>-4.0632054176072199E-2</v>
      </c>
      <c r="L606">
        <v>-18</v>
      </c>
      <c r="M606">
        <f t="shared" si="39"/>
        <v>-9.1074395817140746E-3</v>
      </c>
      <c r="N606">
        <v>443</v>
      </c>
    </row>
    <row r="607" spans="1:14" x14ac:dyDescent="0.25">
      <c r="A607" s="1">
        <v>43980</v>
      </c>
      <c r="B607" s="1">
        <f t="shared" si="36"/>
        <v>2020</v>
      </c>
      <c r="C607" s="1" t="str">
        <f t="shared" si="37"/>
        <v>May</v>
      </c>
      <c r="D607">
        <v>417.459991</v>
      </c>
      <c r="E607">
        <v>420.29998799999998</v>
      </c>
      <c r="F607">
        <v>411.85000600000001</v>
      </c>
      <c r="G607">
        <v>419.73001099999999</v>
      </c>
      <c r="H607">
        <v>419.73001099999999</v>
      </c>
      <c r="I607">
        <f t="shared" si="38"/>
        <v>2.2700199999999882</v>
      </c>
      <c r="J607">
        <v>5254900</v>
      </c>
      <c r="K607">
        <v>-8.3333333333333301E-2</v>
      </c>
      <c r="L607">
        <v>-23</v>
      </c>
      <c r="M607">
        <f t="shared" si="39"/>
        <v>5.4376947466565437E-3</v>
      </c>
      <c r="N607">
        <v>276</v>
      </c>
    </row>
    <row r="608" spans="1:14" x14ac:dyDescent="0.25">
      <c r="A608" s="1">
        <v>43983</v>
      </c>
      <c r="B608" s="1">
        <f t="shared" si="36"/>
        <v>2020</v>
      </c>
      <c r="C608" s="1" t="str">
        <f t="shared" si="37"/>
        <v>Jun</v>
      </c>
      <c r="D608">
        <v>418.82998700000002</v>
      </c>
      <c r="E608">
        <v>426.72000100000002</v>
      </c>
      <c r="F608">
        <v>415.98001099999999</v>
      </c>
      <c r="G608">
        <v>425.92001299999998</v>
      </c>
      <c r="H608">
        <v>425.92001299999998</v>
      </c>
      <c r="I608">
        <f t="shared" si="38"/>
        <v>7.0900259999999662</v>
      </c>
      <c r="J608">
        <v>3743700</v>
      </c>
      <c r="K608">
        <v>-1.06666666666666E-2</v>
      </c>
      <c r="L608">
        <v>-4</v>
      </c>
      <c r="M608">
        <f t="shared" si="39"/>
        <v>1.6928171859862475E-2</v>
      </c>
      <c r="N608">
        <v>375</v>
      </c>
    </row>
    <row r="609" spans="1:14" x14ac:dyDescent="0.25">
      <c r="A609" s="1">
        <v>43984</v>
      </c>
      <c r="B609" s="1">
        <f t="shared" si="36"/>
        <v>2020</v>
      </c>
      <c r="C609" s="1" t="str">
        <f t="shared" si="37"/>
        <v>Jun</v>
      </c>
      <c r="D609">
        <v>425.86999500000002</v>
      </c>
      <c r="E609">
        <v>427.58999599999999</v>
      </c>
      <c r="F609">
        <v>419.459991</v>
      </c>
      <c r="G609">
        <v>427.30999800000001</v>
      </c>
      <c r="H609">
        <v>427.30999800000001</v>
      </c>
      <c r="I609">
        <f t="shared" si="38"/>
        <v>1.4400029999999902</v>
      </c>
      <c r="J609">
        <v>3494800</v>
      </c>
      <c r="K609">
        <v>-4.3343653250773898E-2</v>
      </c>
      <c r="L609">
        <v>-14</v>
      </c>
      <c r="M609">
        <f t="shared" si="39"/>
        <v>3.38132063048957E-3</v>
      </c>
      <c r="N609">
        <v>323</v>
      </c>
    </row>
    <row r="610" spans="1:14" x14ac:dyDescent="0.25">
      <c r="A610" s="1">
        <v>43985</v>
      </c>
      <c r="B610" s="1">
        <f t="shared" si="36"/>
        <v>2020</v>
      </c>
      <c r="C610" s="1" t="str">
        <f t="shared" si="37"/>
        <v>Jun</v>
      </c>
      <c r="D610">
        <v>426.95001200000002</v>
      </c>
      <c r="E610">
        <v>427.10000600000001</v>
      </c>
      <c r="F610">
        <v>418.04998799999998</v>
      </c>
      <c r="G610">
        <v>421.97000100000002</v>
      </c>
      <c r="H610">
        <v>421.97000100000002</v>
      </c>
      <c r="I610">
        <f t="shared" si="38"/>
        <v>-4.9800109999999904</v>
      </c>
      <c r="J610">
        <v>4316000</v>
      </c>
      <c r="K610">
        <v>-9.5571095571095499E-2</v>
      </c>
      <c r="L610">
        <v>-41</v>
      </c>
      <c r="M610">
        <f t="shared" si="39"/>
        <v>-1.1664154725448258E-2</v>
      </c>
      <c r="N610">
        <v>429</v>
      </c>
    </row>
    <row r="611" spans="1:14" x14ac:dyDescent="0.25">
      <c r="A611" s="1">
        <v>43986</v>
      </c>
      <c r="B611" s="1">
        <f t="shared" si="36"/>
        <v>2020</v>
      </c>
      <c r="C611" s="1" t="str">
        <f t="shared" si="37"/>
        <v>Jun</v>
      </c>
      <c r="D611">
        <v>422.39001500000001</v>
      </c>
      <c r="E611">
        <v>428.709991</v>
      </c>
      <c r="F611">
        <v>410.02999899999998</v>
      </c>
      <c r="G611">
        <v>414.32998700000002</v>
      </c>
      <c r="H611">
        <v>414.32998700000002</v>
      </c>
      <c r="I611">
        <f t="shared" si="38"/>
        <v>-8.0600279999999884</v>
      </c>
      <c r="J611">
        <v>5410500</v>
      </c>
      <c r="K611">
        <v>-0.107579462102689</v>
      </c>
      <c r="L611">
        <v>-44</v>
      </c>
      <c r="M611">
        <f t="shared" si="39"/>
        <v>-1.9081956755061996E-2</v>
      </c>
      <c r="N611">
        <v>409</v>
      </c>
    </row>
    <row r="612" spans="1:14" x14ac:dyDescent="0.25">
      <c r="A612" s="1">
        <v>43987</v>
      </c>
      <c r="B612" s="1">
        <f t="shared" si="36"/>
        <v>2020</v>
      </c>
      <c r="C612" s="1" t="str">
        <f t="shared" si="37"/>
        <v>Jun</v>
      </c>
      <c r="D612">
        <v>407.290009</v>
      </c>
      <c r="E612">
        <v>420.23998999999998</v>
      </c>
      <c r="F612">
        <v>404.25</v>
      </c>
      <c r="G612">
        <v>419.60000600000001</v>
      </c>
      <c r="H612">
        <v>419.60000600000001</v>
      </c>
      <c r="I612">
        <f t="shared" si="38"/>
        <v>12.30999700000001</v>
      </c>
      <c r="J612">
        <v>5099600</v>
      </c>
      <c r="K612">
        <v>-7.4550128534704302E-2</v>
      </c>
      <c r="L612">
        <v>-29</v>
      </c>
      <c r="M612">
        <f t="shared" si="39"/>
        <v>3.0224156566531466E-2</v>
      </c>
      <c r="N612">
        <v>389</v>
      </c>
    </row>
    <row r="613" spans="1:14" x14ac:dyDescent="0.25">
      <c r="A613" s="1">
        <v>43990</v>
      </c>
      <c r="B613" s="1">
        <f t="shared" si="36"/>
        <v>2020</v>
      </c>
      <c r="C613" s="1" t="str">
        <f t="shared" si="37"/>
        <v>Jun</v>
      </c>
      <c r="D613">
        <v>416</v>
      </c>
      <c r="E613">
        <v>420.79998799999998</v>
      </c>
      <c r="F613">
        <v>406.5</v>
      </c>
      <c r="G613">
        <v>419.48998999999998</v>
      </c>
      <c r="H613">
        <v>419.48998999999998</v>
      </c>
      <c r="I613">
        <f t="shared" si="38"/>
        <v>3.4899899999999775</v>
      </c>
      <c r="J613">
        <v>5851500</v>
      </c>
      <c r="K613">
        <v>-5.9701492537313397E-2</v>
      </c>
      <c r="L613">
        <v>-28</v>
      </c>
      <c r="M613">
        <f t="shared" si="39"/>
        <v>8.3893990384614845E-3</v>
      </c>
      <c r="N613">
        <v>469</v>
      </c>
    </row>
    <row r="614" spans="1:14" x14ac:dyDescent="0.25">
      <c r="A614" s="1">
        <v>43991</v>
      </c>
      <c r="B614" s="1">
        <f t="shared" si="36"/>
        <v>2020</v>
      </c>
      <c r="C614" s="1" t="str">
        <f t="shared" si="37"/>
        <v>Jun</v>
      </c>
      <c r="D614">
        <v>421.64999399999999</v>
      </c>
      <c r="E614">
        <v>434.73001099999999</v>
      </c>
      <c r="F614">
        <v>420.30999800000001</v>
      </c>
      <c r="G614">
        <v>434.04998799999998</v>
      </c>
      <c r="H614">
        <v>434.04998799999998</v>
      </c>
      <c r="I614">
        <f t="shared" si="38"/>
        <v>12.399993999999992</v>
      </c>
      <c r="J614">
        <v>6797000</v>
      </c>
      <c r="K614">
        <v>-4.4563279857397498E-2</v>
      </c>
      <c r="L614">
        <v>-25</v>
      </c>
      <c r="M614">
        <f t="shared" si="39"/>
        <v>2.9408263195658892E-2</v>
      </c>
      <c r="N614">
        <v>561</v>
      </c>
    </row>
    <row r="615" spans="1:14" x14ac:dyDescent="0.25">
      <c r="A615" s="1">
        <v>43992</v>
      </c>
      <c r="B615" s="1">
        <f t="shared" si="36"/>
        <v>2020</v>
      </c>
      <c r="C615" s="1" t="str">
        <f t="shared" si="37"/>
        <v>Jun</v>
      </c>
      <c r="D615">
        <v>436</v>
      </c>
      <c r="E615">
        <v>439.69000199999999</v>
      </c>
      <c r="F615">
        <v>430.54998799999998</v>
      </c>
      <c r="G615">
        <v>434.48001099999999</v>
      </c>
      <c r="H615">
        <v>434.48001099999999</v>
      </c>
      <c r="I615">
        <f t="shared" si="38"/>
        <v>-1.5199890000000096</v>
      </c>
      <c r="J615">
        <v>4896900</v>
      </c>
      <c r="K615">
        <v>-8.6859688195991006E-2</v>
      </c>
      <c r="L615">
        <v>-39</v>
      </c>
      <c r="M615">
        <f t="shared" si="39"/>
        <v>-3.4862133027523156E-3</v>
      </c>
      <c r="N615">
        <v>449</v>
      </c>
    </row>
    <row r="616" spans="1:14" x14ac:dyDescent="0.25">
      <c r="A616" s="1">
        <v>43993</v>
      </c>
      <c r="B616" s="1">
        <f t="shared" si="36"/>
        <v>2020</v>
      </c>
      <c r="C616" s="1" t="str">
        <f t="shared" si="37"/>
        <v>Jun</v>
      </c>
      <c r="D616">
        <v>428.20001200000002</v>
      </c>
      <c r="E616">
        <v>445.57000699999998</v>
      </c>
      <c r="F616">
        <v>424.16000400000001</v>
      </c>
      <c r="G616">
        <v>425.55999800000001</v>
      </c>
      <c r="H616">
        <v>425.55999800000001</v>
      </c>
      <c r="I616">
        <f t="shared" si="38"/>
        <v>-2.6400140000000079</v>
      </c>
      <c r="J616">
        <v>7462900</v>
      </c>
      <c r="K616">
        <v>-4.2553191489361701E-2</v>
      </c>
      <c r="L616">
        <v>-26</v>
      </c>
      <c r="M616">
        <f t="shared" si="39"/>
        <v>-6.165375819746609E-3</v>
      </c>
      <c r="N616">
        <v>611</v>
      </c>
    </row>
    <row r="617" spans="1:14" x14ac:dyDescent="0.25">
      <c r="A617" s="1">
        <v>43994</v>
      </c>
      <c r="B617" s="1">
        <f t="shared" si="36"/>
        <v>2020</v>
      </c>
      <c r="C617" s="1" t="str">
        <f t="shared" si="37"/>
        <v>Jun</v>
      </c>
      <c r="D617">
        <v>429</v>
      </c>
      <c r="E617">
        <v>434.05999800000001</v>
      </c>
      <c r="F617">
        <v>412.45001200000002</v>
      </c>
      <c r="G617">
        <v>418.07000699999998</v>
      </c>
      <c r="H617">
        <v>418.07000699999998</v>
      </c>
      <c r="I617">
        <f t="shared" si="38"/>
        <v>-10.929993000000024</v>
      </c>
      <c r="J617">
        <v>6461100</v>
      </c>
      <c r="K617">
        <v>-6.7441860465116202E-2</v>
      </c>
      <c r="L617">
        <v>-29</v>
      </c>
      <c r="M617">
        <f t="shared" si="39"/>
        <v>-2.5477839160839219E-2</v>
      </c>
      <c r="N617">
        <v>430</v>
      </c>
    </row>
    <row r="618" spans="1:14" x14ac:dyDescent="0.25">
      <c r="A618" s="1">
        <v>43997</v>
      </c>
      <c r="B618" s="1">
        <f t="shared" si="36"/>
        <v>2020</v>
      </c>
      <c r="C618" s="1" t="str">
        <f t="shared" si="37"/>
        <v>Jun</v>
      </c>
      <c r="D618">
        <v>421.39999399999999</v>
      </c>
      <c r="E618">
        <v>426.48998999999998</v>
      </c>
      <c r="F618">
        <v>415.42001299999998</v>
      </c>
      <c r="G618">
        <v>425.5</v>
      </c>
      <c r="H618">
        <v>425.5</v>
      </c>
      <c r="I618">
        <f t="shared" si="38"/>
        <v>4.1000060000000076</v>
      </c>
      <c r="J618">
        <v>4467900</v>
      </c>
      <c r="K618">
        <v>-6.3205417607223396E-2</v>
      </c>
      <c r="L618">
        <v>-28</v>
      </c>
      <c r="M618">
        <f t="shared" si="39"/>
        <v>9.7294875614070547E-3</v>
      </c>
      <c r="N618">
        <v>443</v>
      </c>
    </row>
    <row r="619" spans="1:14" x14ac:dyDescent="0.25">
      <c r="A619" s="1">
        <v>43998</v>
      </c>
      <c r="B619" s="1">
        <f t="shared" si="36"/>
        <v>2020</v>
      </c>
      <c r="C619" s="1" t="str">
        <f t="shared" si="37"/>
        <v>Jun</v>
      </c>
      <c r="D619">
        <v>425.76001000000002</v>
      </c>
      <c r="E619">
        <v>437.959991</v>
      </c>
      <c r="F619">
        <v>425.17999300000002</v>
      </c>
      <c r="G619">
        <v>436.13000499999998</v>
      </c>
      <c r="H619">
        <v>436.13000499999998</v>
      </c>
      <c r="I619">
        <f t="shared" si="38"/>
        <v>10.36999499999996</v>
      </c>
      <c r="J619">
        <v>5507900</v>
      </c>
      <c r="K619">
        <v>-4.8997772828507702E-2</v>
      </c>
      <c r="L619">
        <v>-22</v>
      </c>
      <c r="M619">
        <f t="shared" si="39"/>
        <v>2.43564326297342E-2</v>
      </c>
      <c r="N619">
        <v>449</v>
      </c>
    </row>
    <row r="620" spans="1:14" x14ac:dyDescent="0.25">
      <c r="A620" s="1">
        <v>43999</v>
      </c>
      <c r="B620" s="1">
        <f t="shared" si="36"/>
        <v>2020</v>
      </c>
      <c r="C620" s="1" t="str">
        <f t="shared" si="37"/>
        <v>Jun</v>
      </c>
      <c r="D620">
        <v>441.82000699999998</v>
      </c>
      <c r="E620">
        <v>450.459991</v>
      </c>
      <c r="F620">
        <v>439.22000100000002</v>
      </c>
      <c r="G620">
        <v>447.76998900000001</v>
      </c>
      <c r="H620">
        <v>447.76998900000001</v>
      </c>
      <c r="I620">
        <f t="shared" si="38"/>
        <v>5.9499820000000341</v>
      </c>
      <c r="J620">
        <v>6529600</v>
      </c>
      <c r="K620">
        <v>-3.4343434343434301E-2</v>
      </c>
      <c r="L620">
        <v>-17</v>
      </c>
      <c r="M620">
        <f t="shared" si="39"/>
        <v>1.3466981815515734E-2</v>
      </c>
      <c r="N620">
        <v>495</v>
      </c>
    </row>
    <row r="621" spans="1:14" x14ac:dyDescent="0.25">
      <c r="A621" s="1">
        <v>44000</v>
      </c>
      <c r="B621" s="1">
        <f t="shared" si="36"/>
        <v>2020</v>
      </c>
      <c r="C621" s="1" t="str">
        <f t="shared" si="37"/>
        <v>Jun</v>
      </c>
      <c r="D621">
        <v>448.73001099999999</v>
      </c>
      <c r="E621">
        <v>452.76001000000002</v>
      </c>
      <c r="F621">
        <v>442.79998799999998</v>
      </c>
      <c r="G621">
        <v>449.86999500000002</v>
      </c>
      <c r="H621">
        <v>449.86999500000002</v>
      </c>
      <c r="I621">
        <f t="shared" si="38"/>
        <v>1.1399840000000268</v>
      </c>
      <c r="J621">
        <v>4277600</v>
      </c>
      <c r="K621">
        <v>-3.5634743875278298E-2</v>
      </c>
      <c r="L621">
        <v>-16</v>
      </c>
      <c r="M621">
        <f t="shared" si="39"/>
        <v>2.5404674794528657E-3</v>
      </c>
      <c r="N621">
        <v>449</v>
      </c>
    </row>
    <row r="622" spans="1:14" x14ac:dyDescent="0.25">
      <c r="A622" s="1">
        <v>44001</v>
      </c>
      <c r="B622" s="1">
        <f t="shared" si="36"/>
        <v>2020</v>
      </c>
      <c r="C622" s="1" t="str">
        <f t="shared" si="37"/>
        <v>Jun</v>
      </c>
      <c r="D622">
        <v>449.11999500000002</v>
      </c>
      <c r="E622">
        <v>453.97000100000002</v>
      </c>
      <c r="F622">
        <v>445.60000600000001</v>
      </c>
      <c r="G622">
        <v>453.72000100000002</v>
      </c>
      <c r="H622">
        <v>453.72000100000002</v>
      </c>
      <c r="I622">
        <f t="shared" si="38"/>
        <v>4.6000060000000076</v>
      </c>
      <c r="J622">
        <v>5934500</v>
      </c>
      <c r="K622">
        <v>-2.3598820058997001E-2</v>
      </c>
      <c r="L622">
        <v>-8</v>
      </c>
      <c r="M622">
        <f t="shared" si="39"/>
        <v>1.0242264987556404E-2</v>
      </c>
      <c r="N622">
        <v>339</v>
      </c>
    </row>
    <row r="623" spans="1:14" x14ac:dyDescent="0.25">
      <c r="A623" s="1">
        <v>44004</v>
      </c>
      <c r="B623" s="1">
        <f t="shared" si="36"/>
        <v>2020</v>
      </c>
      <c r="C623" s="1" t="str">
        <f t="shared" si="37"/>
        <v>Jun</v>
      </c>
      <c r="D623">
        <v>455.01001000000002</v>
      </c>
      <c r="E623">
        <v>468.58999599999999</v>
      </c>
      <c r="F623">
        <v>454.209991</v>
      </c>
      <c r="G623">
        <v>468.040009</v>
      </c>
      <c r="H623">
        <v>468.040009</v>
      </c>
      <c r="I623">
        <f t="shared" si="38"/>
        <v>13.029998999999975</v>
      </c>
      <c r="J623">
        <v>6272100</v>
      </c>
      <c r="K623">
        <v>-2.81923714759535E-2</v>
      </c>
      <c r="L623">
        <v>-17</v>
      </c>
      <c r="M623">
        <f t="shared" si="39"/>
        <v>2.8636730431490891E-2</v>
      </c>
      <c r="N623">
        <v>603</v>
      </c>
    </row>
    <row r="624" spans="1:14" x14ac:dyDescent="0.25">
      <c r="A624" s="1">
        <v>44005</v>
      </c>
      <c r="B624" s="1">
        <f t="shared" si="36"/>
        <v>2020</v>
      </c>
      <c r="C624" s="1" t="str">
        <f t="shared" si="37"/>
        <v>Jun</v>
      </c>
      <c r="D624">
        <v>466.5</v>
      </c>
      <c r="E624">
        <v>474.01001000000002</v>
      </c>
      <c r="F624">
        <v>464.5</v>
      </c>
      <c r="G624">
        <v>466.26001000000002</v>
      </c>
      <c r="H624">
        <v>466.26001000000002</v>
      </c>
      <c r="I624">
        <f t="shared" si="38"/>
        <v>-0.2399899999999775</v>
      </c>
      <c r="J624">
        <v>5948400</v>
      </c>
      <c r="K624">
        <v>-3.2629558541266701E-2</v>
      </c>
      <c r="L624">
        <v>-17</v>
      </c>
      <c r="M624">
        <f t="shared" si="39"/>
        <v>-5.1444801714893356E-4</v>
      </c>
      <c r="N624">
        <v>521</v>
      </c>
    </row>
    <row r="625" spans="1:14" x14ac:dyDescent="0.25">
      <c r="A625" s="1">
        <v>44006</v>
      </c>
      <c r="B625" s="1">
        <f t="shared" si="36"/>
        <v>2020</v>
      </c>
      <c r="C625" s="1" t="str">
        <f t="shared" si="37"/>
        <v>Jun</v>
      </c>
      <c r="D625">
        <v>468.540009</v>
      </c>
      <c r="E625">
        <v>472.35998499999999</v>
      </c>
      <c r="F625">
        <v>454</v>
      </c>
      <c r="G625">
        <v>457.85000600000001</v>
      </c>
      <c r="H625">
        <v>457.85000600000001</v>
      </c>
      <c r="I625">
        <f t="shared" si="38"/>
        <v>-10.69000299999999</v>
      </c>
      <c r="J625">
        <v>4826200</v>
      </c>
      <c r="K625">
        <v>-6.19946091644204E-2</v>
      </c>
      <c r="L625">
        <v>-23</v>
      </c>
      <c r="M625">
        <f t="shared" si="39"/>
        <v>-2.2815560666453117E-2</v>
      </c>
      <c r="N625">
        <v>371</v>
      </c>
    </row>
    <row r="626" spans="1:14" x14ac:dyDescent="0.25">
      <c r="A626" s="1">
        <v>44007</v>
      </c>
      <c r="B626" s="1">
        <f t="shared" si="36"/>
        <v>2020</v>
      </c>
      <c r="C626" s="1" t="str">
        <f t="shared" si="37"/>
        <v>Jun</v>
      </c>
      <c r="D626">
        <v>458.85998499999999</v>
      </c>
      <c r="E626">
        <v>467.01001000000002</v>
      </c>
      <c r="F626">
        <v>454</v>
      </c>
      <c r="G626">
        <v>465.91000400000001</v>
      </c>
      <c r="H626">
        <v>465.91000400000001</v>
      </c>
      <c r="I626">
        <f t="shared" si="38"/>
        <v>7.0500190000000202</v>
      </c>
      <c r="J626">
        <v>4134500</v>
      </c>
      <c r="K626">
        <v>-9.03954802259887E-2</v>
      </c>
      <c r="L626">
        <v>-32</v>
      </c>
      <c r="M626">
        <f t="shared" si="39"/>
        <v>1.5364205270590375E-2</v>
      </c>
      <c r="N626">
        <v>354</v>
      </c>
    </row>
    <row r="627" spans="1:14" x14ac:dyDescent="0.25">
      <c r="A627" s="1">
        <v>44008</v>
      </c>
      <c r="B627" s="1">
        <f t="shared" si="36"/>
        <v>2020</v>
      </c>
      <c r="C627" s="1" t="str">
        <f t="shared" si="37"/>
        <v>Jun</v>
      </c>
      <c r="D627">
        <v>466.39001500000001</v>
      </c>
      <c r="E627">
        <v>468.02999899999998</v>
      </c>
      <c r="F627">
        <v>442.23998999999998</v>
      </c>
      <c r="G627">
        <v>443.39999399999999</v>
      </c>
      <c r="H627">
        <v>443.39999399999999</v>
      </c>
      <c r="I627">
        <f t="shared" si="38"/>
        <v>-22.990021000000013</v>
      </c>
      <c r="J627">
        <v>6804700</v>
      </c>
      <c r="K627">
        <v>-5.8651026392961797E-2</v>
      </c>
      <c r="L627">
        <v>-20</v>
      </c>
      <c r="M627">
        <f t="shared" si="39"/>
        <v>-4.9293553164940745E-2</v>
      </c>
      <c r="N627">
        <v>341</v>
      </c>
    </row>
    <row r="628" spans="1:14" x14ac:dyDescent="0.25">
      <c r="A628" s="1">
        <v>44011</v>
      </c>
      <c r="B628" s="1">
        <f t="shared" si="36"/>
        <v>2020</v>
      </c>
      <c r="C628" s="1" t="str">
        <f t="shared" si="37"/>
        <v>Jun</v>
      </c>
      <c r="D628">
        <v>445.23001099999999</v>
      </c>
      <c r="E628">
        <v>447.67001299999998</v>
      </c>
      <c r="F628">
        <v>432.14001500000001</v>
      </c>
      <c r="G628">
        <v>447.23998999999998</v>
      </c>
      <c r="H628">
        <v>447.23998999999998</v>
      </c>
      <c r="I628">
        <f t="shared" si="38"/>
        <v>2.0099789999999871</v>
      </c>
      <c r="J628">
        <v>4844000</v>
      </c>
      <c r="K628">
        <v>-2.5236593059936901E-2</v>
      </c>
      <c r="L628">
        <v>-8</v>
      </c>
      <c r="M628">
        <f t="shared" si="39"/>
        <v>4.5144733066971691E-3</v>
      </c>
      <c r="N628">
        <v>317</v>
      </c>
    </row>
    <row r="629" spans="1:14" x14ac:dyDescent="0.25">
      <c r="A629" s="1">
        <v>44012</v>
      </c>
      <c r="B629" s="1">
        <f t="shared" si="36"/>
        <v>2020</v>
      </c>
      <c r="C629" s="1" t="str">
        <f t="shared" si="37"/>
        <v>Jun</v>
      </c>
      <c r="D629">
        <v>450.01998900000001</v>
      </c>
      <c r="E629">
        <v>457.58999599999999</v>
      </c>
      <c r="F629">
        <v>447</v>
      </c>
      <c r="G629">
        <v>455.040009</v>
      </c>
      <c r="H629">
        <v>455.040009</v>
      </c>
      <c r="I629">
        <f t="shared" si="38"/>
        <v>5.0200199999999882</v>
      </c>
      <c r="J629">
        <v>4198500</v>
      </c>
      <c r="K629">
        <v>-1.46699266503667E-2</v>
      </c>
      <c r="L629">
        <v>-6</v>
      </c>
      <c r="M629">
        <f t="shared" si="39"/>
        <v>1.1155104490258517E-2</v>
      </c>
      <c r="N629">
        <v>409</v>
      </c>
    </row>
    <row r="630" spans="1:14" x14ac:dyDescent="0.25">
      <c r="A630" s="1">
        <v>44013</v>
      </c>
      <c r="B630" s="1">
        <f t="shared" si="36"/>
        <v>2020</v>
      </c>
      <c r="C630" s="1" t="str">
        <f t="shared" si="37"/>
        <v>Jul</v>
      </c>
      <c r="D630">
        <v>454</v>
      </c>
      <c r="E630">
        <v>488.23001099999999</v>
      </c>
      <c r="F630">
        <v>454</v>
      </c>
      <c r="G630">
        <v>485.64001500000001</v>
      </c>
      <c r="H630">
        <v>485.64001500000001</v>
      </c>
      <c r="I630">
        <f t="shared" si="38"/>
        <v>31.640015000000005</v>
      </c>
      <c r="J630">
        <v>9705900</v>
      </c>
      <c r="K630">
        <v>-3.47721822541966E-2</v>
      </c>
      <c r="L630">
        <v>-29</v>
      </c>
      <c r="M630">
        <f t="shared" si="39"/>
        <v>6.9691662995594719E-2</v>
      </c>
      <c r="N630">
        <v>834</v>
      </c>
    </row>
    <row r="631" spans="1:14" x14ac:dyDescent="0.25">
      <c r="A631" s="1">
        <v>44014</v>
      </c>
      <c r="B631" s="1">
        <f t="shared" si="36"/>
        <v>2020</v>
      </c>
      <c r="C631" s="1" t="str">
        <f t="shared" si="37"/>
        <v>Jul</v>
      </c>
      <c r="D631">
        <v>485.64001500000001</v>
      </c>
      <c r="E631">
        <v>492.27999899999998</v>
      </c>
      <c r="F631">
        <v>475.52999899999998</v>
      </c>
      <c r="G631">
        <v>476.89001500000001</v>
      </c>
      <c r="H631">
        <v>476.89001500000001</v>
      </c>
      <c r="I631">
        <f t="shared" si="38"/>
        <v>-8.75</v>
      </c>
      <c r="J631">
        <v>6351500</v>
      </c>
      <c r="K631">
        <v>-2.2267206477732698E-2</v>
      </c>
      <c r="L631">
        <v>-11</v>
      </c>
      <c r="M631">
        <f t="shared" si="39"/>
        <v>-1.8017460937604163E-2</v>
      </c>
      <c r="N631">
        <v>494</v>
      </c>
    </row>
    <row r="632" spans="1:14" x14ac:dyDescent="0.25">
      <c r="A632" s="1">
        <v>44018</v>
      </c>
      <c r="B632" s="1">
        <f t="shared" si="36"/>
        <v>2020</v>
      </c>
      <c r="C632" s="1" t="str">
        <f t="shared" si="37"/>
        <v>Jul</v>
      </c>
      <c r="D632">
        <v>480.76998900000001</v>
      </c>
      <c r="E632">
        <v>499.5</v>
      </c>
      <c r="F632">
        <v>479.79998799999998</v>
      </c>
      <c r="G632">
        <v>493.80999800000001</v>
      </c>
      <c r="H632">
        <v>493.80999800000001</v>
      </c>
      <c r="I632">
        <f t="shared" si="38"/>
        <v>13.040008999999998</v>
      </c>
      <c r="J632">
        <v>7839000</v>
      </c>
      <c r="K632">
        <v>-1.9070321811680498E-2</v>
      </c>
      <c r="L632">
        <v>-16</v>
      </c>
      <c r="M632">
        <f t="shared" si="39"/>
        <v>2.7123175943496752E-2</v>
      </c>
      <c r="N632">
        <v>839</v>
      </c>
    </row>
    <row r="633" spans="1:14" x14ac:dyDescent="0.25">
      <c r="A633" s="1">
        <v>44019</v>
      </c>
      <c r="B633" s="1">
        <f t="shared" si="36"/>
        <v>2020</v>
      </c>
      <c r="C633" s="1" t="str">
        <f t="shared" si="37"/>
        <v>Jul</v>
      </c>
      <c r="D633">
        <v>497.30999800000001</v>
      </c>
      <c r="E633">
        <v>504.82000699999998</v>
      </c>
      <c r="F633">
        <v>490.82998700000002</v>
      </c>
      <c r="G633">
        <v>493.16000400000001</v>
      </c>
      <c r="H633">
        <v>493.16000400000001</v>
      </c>
      <c r="I633">
        <f t="shared" si="38"/>
        <v>-4.1499939999999924</v>
      </c>
      <c r="J633">
        <v>5669900</v>
      </c>
      <c r="K633">
        <v>-5.5762081784385999E-3</v>
      </c>
      <c r="L633">
        <v>-3</v>
      </c>
      <c r="M633">
        <f t="shared" si="39"/>
        <v>-8.34488350664527E-3</v>
      </c>
      <c r="N633">
        <v>538</v>
      </c>
    </row>
    <row r="634" spans="1:14" x14ac:dyDescent="0.25">
      <c r="A634" s="1">
        <v>44020</v>
      </c>
      <c r="B634" s="1">
        <f t="shared" si="36"/>
        <v>2020</v>
      </c>
      <c r="C634" s="1" t="str">
        <f t="shared" si="37"/>
        <v>Jul</v>
      </c>
      <c r="D634">
        <v>498.57998700000002</v>
      </c>
      <c r="E634">
        <v>505.10000600000001</v>
      </c>
      <c r="F634">
        <v>493.80999800000001</v>
      </c>
      <c r="G634">
        <v>502.77999899999998</v>
      </c>
      <c r="H634">
        <v>502.77999899999998</v>
      </c>
      <c r="I634">
        <f t="shared" si="38"/>
        <v>4.2000119999999583</v>
      </c>
      <c r="J634">
        <v>5691700</v>
      </c>
      <c r="K634">
        <v>-2.6890756302521E-2</v>
      </c>
      <c r="L634">
        <v>-16</v>
      </c>
      <c r="M634">
        <f t="shared" si="39"/>
        <v>8.4239482320014551E-3</v>
      </c>
      <c r="N634">
        <v>595</v>
      </c>
    </row>
    <row r="635" spans="1:14" x14ac:dyDescent="0.25">
      <c r="A635" s="1">
        <v>44021</v>
      </c>
      <c r="B635" s="1">
        <f t="shared" si="36"/>
        <v>2020</v>
      </c>
      <c r="C635" s="1" t="str">
        <f t="shared" si="37"/>
        <v>Jul</v>
      </c>
      <c r="D635">
        <v>508.39999399999999</v>
      </c>
      <c r="E635">
        <v>510</v>
      </c>
      <c r="F635">
        <v>495.77999899999998</v>
      </c>
      <c r="G635">
        <v>507.76001000000002</v>
      </c>
      <c r="H635">
        <v>507.76001000000002</v>
      </c>
      <c r="I635">
        <f t="shared" si="38"/>
        <v>-0.63998399999996991</v>
      </c>
      <c r="J635">
        <v>5840500</v>
      </c>
      <c r="K635">
        <v>-7.9429735234215801E-2</v>
      </c>
      <c r="L635">
        <v>-39</v>
      </c>
      <c r="M635">
        <f t="shared" si="39"/>
        <v>-1.2588198417641404E-3</v>
      </c>
      <c r="N635">
        <v>491</v>
      </c>
    </row>
    <row r="636" spans="1:14" x14ac:dyDescent="0.25">
      <c r="A636" s="1">
        <v>44022</v>
      </c>
      <c r="B636" s="1">
        <f t="shared" si="36"/>
        <v>2020</v>
      </c>
      <c r="C636" s="1" t="str">
        <f t="shared" si="37"/>
        <v>Jul</v>
      </c>
      <c r="D636">
        <v>519.72997999999995</v>
      </c>
      <c r="E636">
        <v>555.88000499999998</v>
      </c>
      <c r="F636">
        <v>511.27999899999998</v>
      </c>
      <c r="G636">
        <v>548.72997999999995</v>
      </c>
      <c r="H636">
        <v>548.72997999999995</v>
      </c>
      <c r="I636">
        <f t="shared" si="38"/>
        <v>29</v>
      </c>
      <c r="J636">
        <v>21605600</v>
      </c>
      <c r="K636">
        <v>9.8119378577268997E-3</v>
      </c>
      <c r="L636">
        <v>12</v>
      </c>
      <c r="M636">
        <f t="shared" si="39"/>
        <v>5.5798205060250718E-2</v>
      </c>
      <c r="N636">
        <v>1223</v>
      </c>
    </row>
    <row r="637" spans="1:14" x14ac:dyDescent="0.25">
      <c r="A637" s="1">
        <v>44025</v>
      </c>
      <c r="B637" s="1">
        <f t="shared" si="36"/>
        <v>2020</v>
      </c>
      <c r="C637" s="1" t="str">
        <f t="shared" si="37"/>
        <v>Jul</v>
      </c>
      <c r="D637">
        <v>567.97997999999995</v>
      </c>
      <c r="E637">
        <v>575.36999500000002</v>
      </c>
      <c r="F637">
        <v>520.96002199999998</v>
      </c>
      <c r="G637">
        <v>525.5</v>
      </c>
      <c r="H637">
        <v>525.5</v>
      </c>
      <c r="I637">
        <f t="shared" si="38"/>
        <v>-42.479979999999955</v>
      </c>
      <c r="J637">
        <v>18399000</v>
      </c>
      <c r="K637">
        <v>-4.1176470588235203E-2</v>
      </c>
      <c r="L637">
        <v>-42</v>
      </c>
      <c r="M637">
        <f t="shared" si="39"/>
        <v>-7.4791333314248074E-2</v>
      </c>
      <c r="N637">
        <v>1020</v>
      </c>
    </row>
    <row r="638" spans="1:14" x14ac:dyDescent="0.25">
      <c r="A638" s="1">
        <v>44026</v>
      </c>
      <c r="B638" s="1">
        <f t="shared" si="36"/>
        <v>2020</v>
      </c>
      <c r="C638" s="1" t="str">
        <f t="shared" si="37"/>
        <v>Jul</v>
      </c>
      <c r="D638">
        <v>517.080017</v>
      </c>
      <c r="E638">
        <v>525.5</v>
      </c>
      <c r="F638">
        <v>490.48998999999998</v>
      </c>
      <c r="G638">
        <v>524.88000499999998</v>
      </c>
      <c r="H638">
        <v>524.88000499999998</v>
      </c>
      <c r="I638">
        <f t="shared" si="38"/>
        <v>7.7999879999999848</v>
      </c>
      <c r="J638">
        <v>15083300</v>
      </c>
      <c r="K638">
        <v>-8.6065573770491802E-2</v>
      </c>
      <c r="L638">
        <v>-63</v>
      </c>
      <c r="M638">
        <f t="shared" si="39"/>
        <v>1.5084682725227002E-2</v>
      </c>
      <c r="N638">
        <v>732</v>
      </c>
    </row>
    <row r="639" spans="1:14" x14ac:dyDescent="0.25">
      <c r="A639" s="1">
        <v>44027</v>
      </c>
      <c r="B639" s="1">
        <f t="shared" si="36"/>
        <v>2020</v>
      </c>
      <c r="C639" s="1" t="str">
        <f t="shared" si="37"/>
        <v>Jul</v>
      </c>
      <c r="D639">
        <v>516.29998799999998</v>
      </c>
      <c r="E639">
        <v>529</v>
      </c>
      <c r="F639">
        <v>510.17999300000002</v>
      </c>
      <c r="G639">
        <v>523.26000999999997</v>
      </c>
      <c r="H639">
        <v>523.26000999999997</v>
      </c>
      <c r="I639">
        <f t="shared" si="38"/>
        <v>6.9600219999999808</v>
      </c>
      <c r="J639">
        <v>10066700</v>
      </c>
      <c r="K639">
        <v>-2.9733959311424099E-2</v>
      </c>
      <c r="L639">
        <v>-19</v>
      </c>
      <c r="M639">
        <f t="shared" si="39"/>
        <v>1.3480577497127466E-2</v>
      </c>
      <c r="N639">
        <v>639</v>
      </c>
    </row>
    <row r="640" spans="1:14" x14ac:dyDescent="0.25">
      <c r="A640" s="1">
        <v>44028</v>
      </c>
      <c r="B640" s="1">
        <f t="shared" si="36"/>
        <v>2020</v>
      </c>
      <c r="C640" s="1" t="str">
        <f t="shared" si="37"/>
        <v>Jul</v>
      </c>
      <c r="D640">
        <v>526.47997999999995</v>
      </c>
      <c r="E640">
        <v>535.53997800000002</v>
      </c>
      <c r="F640">
        <v>504.35998499999999</v>
      </c>
      <c r="G640">
        <v>527.39001499999995</v>
      </c>
      <c r="H640">
        <v>527.39001499999995</v>
      </c>
      <c r="I640">
        <f t="shared" si="38"/>
        <v>0.91003499999999349</v>
      </c>
      <c r="J640">
        <v>24499000</v>
      </c>
      <c r="K640">
        <v>-0.157744468236973</v>
      </c>
      <c r="L640">
        <v>-442</v>
      </c>
      <c r="M640">
        <f t="shared" si="39"/>
        <v>1.7285272651772884E-3</v>
      </c>
      <c r="N640">
        <v>2802</v>
      </c>
    </row>
    <row r="641" spans="1:14" x14ac:dyDescent="0.25">
      <c r="A641" s="1">
        <v>44029</v>
      </c>
      <c r="B641" s="1">
        <f t="shared" si="36"/>
        <v>2020</v>
      </c>
      <c r="C641" s="1" t="str">
        <f t="shared" si="37"/>
        <v>Jul</v>
      </c>
      <c r="D641">
        <v>494.86999500000002</v>
      </c>
      <c r="E641">
        <v>503.58999599999999</v>
      </c>
      <c r="F641">
        <v>484.14001500000001</v>
      </c>
      <c r="G641">
        <v>492.98998999999998</v>
      </c>
      <c r="H641">
        <v>492.98998999999998</v>
      </c>
      <c r="I641">
        <f t="shared" si="38"/>
        <v>-1.8800050000000397</v>
      </c>
      <c r="J641">
        <v>24991400</v>
      </c>
      <c r="K641">
        <v>-9.39668980245595E-2</v>
      </c>
      <c r="L641">
        <v>-176</v>
      </c>
      <c r="M641">
        <f t="shared" si="39"/>
        <v>-3.7989876512922139E-3</v>
      </c>
      <c r="N641">
        <v>1873</v>
      </c>
    </row>
    <row r="642" spans="1:14" x14ac:dyDescent="0.25">
      <c r="A642" s="1">
        <v>44032</v>
      </c>
      <c r="B642" s="1">
        <f t="shared" ref="B642:B705" si="40">YEAR(A642)</f>
        <v>2020</v>
      </c>
      <c r="C642" s="1" t="str">
        <f t="shared" ref="C642:C705" si="41">TEXT(A642,"mmm")</f>
        <v>Jul</v>
      </c>
      <c r="D642">
        <v>489.14001500000001</v>
      </c>
      <c r="E642">
        <v>504.5</v>
      </c>
      <c r="F642">
        <v>484.20001200000002</v>
      </c>
      <c r="G642">
        <v>502.41000400000001</v>
      </c>
      <c r="H642">
        <v>502.41000400000001</v>
      </c>
      <c r="I642">
        <f t="shared" ref="I642:I705" si="42">G642-D642</f>
        <v>13.26998900000001</v>
      </c>
      <c r="J642">
        <v>11940300</v>
      </c>
      <c r="K642">
        <v>-6.5610859728506707E-2</v>
      </c>
      <c r="L642">
        <v>-58</v>
      </c>
      <c r="M642">
        <f t="shared" ref="M642:M705" si="43">(G642-D642)/D642</f>
        <v>2.7129223929880302E-2</v>
      </c>
      <c r="N642">
        <v>884</v>
      </c>
    </row>
    <row r="643" spans="1:14" x14ac:dyDescent="0.25">
      <c r="A643" s="1">
        <v>44033</v>
      </c>
      <c r="B643" s="1">
        <f t="shared" si="40"/>
        <v>2020</v>
      </c>
      <c r="C643" s="1" t="str">
        <f t="shared" si="41"/>
        <v>Jul</v>
      </c>
      <c r="D643">
        <v>506</v>
      </c>
      <c r="E643">
        <v>506.22000100000002</v>
      </c>
      <c r="F643">
        <v>488.60998499999999</v>
      </c>
      <c r="G643">
        <v>490.10000600000001</v>
      </c>
      <c r="H643">
        <v>490.10000600000001</v>
      </c>
      <c r="I643">
        <f t="shared" si="42"/>
        <v>-15.899993999999992</v>
      </c>
      <c r="J643">
        <v>9113700</v>
      </c>
      <c r="K643">
        <v>-7.3732718894009203E-2</v>
      </c>
      <c r="L643">
        <v>-48</v>
      </c>
      <c r="M643">
        <f t="shared" si="43"/>
        <v>-3.1422913043478246E-2</v>
      </c>
      <c r="N643">
        <v>651</v>
      </c>
    </row>
    <row r="644" spans="1:14" x14ac:dyDescent="0.25">
      <c r="A644" s="1">
        <v>44034</v>
      </c>
      <c r="B644" s="1">
        <f t="shared" si="40"/>
        <v>2020</v>
      </c>
      <c r="C644" s="1" t="str">
        <f t="shared" si="41"/>
        <v>Jul</v>
      </c>
      <c r="D644">
        <v>492.19000199999999</v>
      </c>
      <c r="E644">
        <v>497.20001200000002</v>
      </c>
      <c r="F644">
        <v>487.20001200000002</v>
      </c>
      <c r="G644">
        <v>489.82000699999998</v>
      </c>
      <c r="H644">
        <v>489.82000699999998</v>
      </c>
      <c r="I644">
        <f t="shared" si="42"/>
        <v>-2.3699950000000172</v>
      </c>
      <c r="J644">
        <v>6954100</v>
      </c>
      <c r="K644">
        <v>-8.4922010398613496E-2</v>
      </c>
      <c r="L644">
        <v>-49</v>
      </c>
      <c r="M644">
        <f t="shared" si="43"/>
        <v>-4.8152034587651323E-3</v>
      </c>
      <c r="N644">
        <v>577</v>
      </c>
    </row>
    <row r="645" spans="1:14" x14ac:dyDescent="0.25">
      <c r="A645" s="1">
        <v>44035</v>
      </c>
      <c r="B645" s="1">
        <f t="shared" si="40"/>
        <v>2020</v>
      </c>
      <c r="C645" s="1" t="str">
        <f t="shared" si="41"/>
        <v>Jul</v>
      </c>
      <c r="D645">
        <v>491.13000499999998</v>
      </c>
      <c r="E645">
        <v>491.89999399999999</v>
      </c>
      <c r="F645">
        <v>472.01998900000001</v>
      </c>
      <c r="G645">
        <v>477.57998700000002</v>
      </c>
      <c r="H645">
        <v>477.57998700000002</v>
      </c>
      <c r="I645">
        <f t="shared" si="42"/>
        <v>-13.550017999999966</v>
      </c>
      <c r="J645">
        <v>7722000</v>
      </c>
      <c r="K645">
        <v>-9.9037138927097604E-2</v>
      </c>
      <c r="L645">
        <v>-72</v>
      </c>
      <c r="M645">
        <f t="shared" si="43"/>
        <v>-2.7589472974675955E-2</v>
      </c>
      <c r="N645">
        <v>727</v>
      </c>
    </row>
    <row r="646" spans="1:14" x14ac:dyDescent="0.25">
      <c r="A646" s="1">
        <v>44036</v>
      </c>
      <c r="B646" s="1">
        <f t="shared" si="40"/>
        <v>2020</v>
      </c>
      <c r="C646" s="1" t="str">
        <f t="shared" si="41"/>
        <v>Jul</v>
      </c>
      <c r="D646">
        <v>468.76998900000001</v>
      </c>
      <c r="E646">
        <v>487.17001299999998</v>
      </c>
      <c r="F646">
        <v>467.540009</v>
      </c>
      <c r="G646">
        <v>480.45001200000002</v>
      </c>
      <c r="H646">
        <v>480.45001200000002</v>
      </c>
      <c r="I646">
        <f t="shared" si="42"/>
        <v>11.680023000000006</v>
      </c>
      <c r="J646">
        <v>7746200</v>
      </c>
      <c r="K646">
        <v>-3.7089871611982801E-2</v>
      </c>
      <c r="L646">
        <v>-26</v>
      </c>
      <c r="M646">
        <f t="shared" si="43"/>
        <v>2.4916319888387748E-2</v>
      </c>
      <c r="N646">
        <v>701</v>
      </c>
    </row>
    <row r="647" spans="1:14" x14ac:dyDescent="0.25">
      <c r="A647" s="1">
        <v>44039</v>
      </c>
      <c r="B647" s="1">
        <f t="shared" si="40"/>
        <v>2020</v>
      </c>
      <c r="C647" s="1" t="str">
        <f t="shared" si="41"/>
        <v>Jul</v>
      </c>
      <c r="D647">
        <v>484.51001000000002</v>
      </c>
      <c r="E647">
        <v>496.92001299999998</v>
      </c>
      <c r="F647">
        <v>482.30999800000001</v>
      </c>
      <c r="G647">
        <v>495.64999399999999</v>
      </c>
      <c r="H647">
        <v>495.64999399999999</v>
      </c>
      <c r="I647">
        <f t="shared" si="42"/>
        <v>11.13998399999997</v>
      </c>
      <c r="J647">
        <v>7863100</v>
      </c>
      <c r="K647">
        <v>-1.1764705882352899E-2</v>
      </c>
      <c r="L647">
        <v>-6</v>
      </c>
      <c r="M647">
        <f t="shared" si="43"/>
        <v>2.2992268002883922E-2</v>
      </c>
      <c r="N647">
        <v>510</v>
      </c>
    </row>
    <row r="648" spans="1:14" x14ac:dyDescent="0.25">
      <c r="A648" s="1">
        <v>44040</v>
      </c>
      <c r="B648" s="1">
        <f t="shared" si="40"/>
        <v>2020</v>
      </c>
      <c r="C648" s="1" t="str">
        <f t="shared" si="41"/>
        <v>Jul</v>
      </c>
      <c r="D648">
        <v>496.01998900000001</v>
      </c>
      <c r="E648">
        <v>497.790009</v>
      </c>
      <c r="F648">
        <v>487.76001000000002</v>
      </c>
      <c r="G648">
        <v>488.51001000000002</v>
      </c>
      <c r="H648">
        <v>488.51001000000002</v>
      </c>
      <c r="I648">
        <f t="shared" si="42"/>
        <v>-7.5099789999999871</v>
      </c>
      <c r="J648">
        <v>5986700</v>
      </c>
      <c r="K648">
        <v>-5.4945054945054903E-2</v>
      </c>
      <c r="L648">
        <v>-20</v>
      </c>
      <c r="M648">
        <f t="shared" si="43"/>
        <v>-1.5140476526239323E-2</v>
      </c>
      <c r="N648">
        <v>364</v>
      </c>
    </row>
    <row r="649" spans="1:14" x14ac:dyDescent="0.25">
      <c r="A649" s="1">
        <v>44041</v>
      </c>
      <c r="B649" s="1">
        <f t="shared" si="40"/>
        <v>2020</v>
      </c>
      <c r="C649" s="1" t="str">
        <f t="shared" si="41"/>
        <v>Jul</v>
      </c>
      <c r="D649">
        <v>492.25</v>
      </c>
      <c r="E649">
        <v>494.92001299999998</v>
      </c>
      <c r="F649">
        <v>484.13000499999998</v>
      </c>
      <c r="G649">
        <v>484.48001099999999</v>
      </c>
      <c r="H649">
        <v>484.48001099999999</v>
      </c>
      <c r="I649">
        <f t="shared" si="42"/>
        <v>-7.7699890000000096</v>
      </c>
      <c r="J649">
        <v>6611800</v>
      </c>
      <c r="K649">
        <v>-6.1440677966101698E-2</v>
      </c>
      <c r="L649">
        <v>-29</v>
      </c>
      <c r="M649">
        <f t="shared" si="43"/>
        <v>-1.5784639918740496E-2</v>
      </c>
      <c r="N649">
        <v>472</v>
      </c>
    </row>
    <row r="650" spans="1:14" x14ac:dyDescent="0.25">
      <c r="A650" s="1">
        <v>44042</v>
      </c>
      <c r="B650" s="1">
        <f t="shared" si="40"/>
        <v>2020</v>
      </c>
      <c r="C650" s="1" t="str">
        <f t="shared" si="41"/>
        <v>Jul</v>
      </c>
      <c r="D650">
        <v>480.709991</v>
      </c>
      <c r="E650">
        <v>488.35000600000001</v>
      </c>
      <c r="F650">
        <v>477.51001000000002</v>
      </c>
      <c r="G650">
        <v>485.79998799999998</v>
      </c>
      <c r="H650">
        <v>485.79998799999998</v>
      </c>
      <c r="I650">
        <f t="shared" si="42"/>
        <v>5.0899969999999826</v>
      </c>
      <c r="J650">
        <v>6608600</v>
      </c>
      <c r="K650">
        <v>-5.7692307692307598E-2</v>
      </c>
      <c r="L650">
        <v>-24</v>
      </c>
      <c r="M650">
        <f t="shared" si="43"/>
        <v>1.0588498461227077E-2</v>
      </c>
      <c r="N650">
        <v>416</v>
      </c>
    </row>
    <row r="651" spans="1:14" x14ac:dyDescent="0.25">
      <c r="A651" s="1">
        <v>44043</v>
      </c>
      <c r="B651" s="1">
        <f t="shared" si="40"/>
        <v>2020</v>
      </c>
      <c r="C651" s="1" t="str">
        <f t="shared" si="41"/>
        <v>Jul</v>
      </c>
      <c r="D651">
        <v>488.290009</v>
      </c>
      <c r="E651">
        <v>494.79998799999998</v>
      </c>
      <c r="F651">
        <v>484.5</v>
      </c>
      <c r="G651">
        <v>488.88000499999998</v>
      </c>
      <c r="H651">
        <v>488.88000499999998</v>
      </c>
      <c r="I651">
        <f t="shared" si="42"/>
        <v>0.58999599999998509</v>
      </c>
      <c r="J651">
        <v>5916300</v>
      </c>
      <c r="K651">
        <v>-4.7091412742382197E-2</v>
      </c>
      <c r="L651">
        <v>-17</v>
      </c>
      <c r="M651">
        <f t="shared" si="43"/>
        <v>1.2082901331695794E-3</v>
      </c>
      <c r="N651">
        <v>361</v>
      </c>
    </row>
    <row r="652" spans="1:14" x14ac:dyDescent="0.25">
      <c r="A652" s="1">
        <v>44046</v>
      </c>
      <c r="B652" s="1">
        <f t="shared" si="40"/>
        <v>2020</v>
      </c>
      <c r="C652" s="1" t="str">
        <f t="shared" si="41"/>
        <v>Aug</v>
      </c>
      <c r="D652">
        <v>490.85998499999999</v>
      </c>
      <c r="E652">
        <v>503.08999599999999</v>
      </c>
      <c r="F652">
        <v>490.23001099999999</v>
      </c>
      <c r="G652">
        <v>498.61999500000002</v>
      </c>
      <c r="H652">
        <v>498.61999500000002</v>
      </c>
      <c r="I652">
        <f t="shared" si="42"/>
        <v>7.7600100000000225</v>
      </c>
      <c r="J652">
        <v>5873100</v>
      </c>
      <c r="K652">
        <v>-2.0833333333333301E-2</v>
      </c>
      <c r="L652">
        <v>-11</v>
      </c>
      <c r="M652">
        <f t="shared" si="43"/>
        <v>1.5809009161747056E-2</v>
      </c>
      <c r="N652">
        <v>528</v>
      </c>
    </row>
    <row r="653" spans="1:14" x14ac:dyDescent="0.25">
      <c r="A653" s="1">
        <v>44047</v>
      </c>
      <c r="B653" s="1">
        <f t="shared" si="40"/>
        <v>2020</v>
      </c>
      <c r="C653" s="1" t="str">
        <f t="shared" si="41"/>
        <v>Aug</v>
      </c>
      <c r="D653">
        <v>498.64999399999999</v>
      </c>
      <c r="E653">
        <v>510.44000199999999</v>
      </c>
      <c r="F653">
        <v>498.64999399999999</v>
      </c>
      <c r="G653">
        <v>509.64001500000001</v>
      </c>
      <c r="H653">
        <v>509.64001500000001</v>
      </c>
      <c r="I653">
        <f t="shared" si="42"/>
        <v>10.990021000000013</v>
      </c>
      <c r="J653">
        <v>5608000</v>
      </c>
      <c r="K653">
        <v>-3.0769230769230702E-2</v>
      </c>
      <c r="L653">
        <v>-16</v>
      </c>
      <c r="M653">
        <f t="shared" si="43"/>
        <v>2.2039549046901249E-2</v>
      </c>
      <c r="N653">
        <v>520</v>
      </c>
    </row>
    <row r="654" spans="1:14" x14ac:dyDescent="0.25">
      <c r="A654" s="1">
        <v>44048</v>
      </c>
      <c r="B654" s="1">
        <f t="shared" si="40"/>
        <v>2020</v>
      </c>
      <c r="C654" s="1" t="str">
        <f t="shared" si="41"/>
        <v>Aug</v>
      </c>
      <c r="D654">
        <v>508.67999300000002</v>
      </c>
      <c r="E654">
        <v>510.10000600000001</v>
      </c>
      <c r="F654">
        <v>501.20001200000002</v>
      </c>
      <c r="G654">
        <v>502.10998499999999</v>
      </c>
      <c r="H654">
        <v>502.10998499999999</v>
      </c>
      <c r="I654">
        <f t="shared" si="42"/>
        <v>-6.5700080000000298</v>
      </c>
      <c r="J654">
        <v>4308200</v>
      </c>
      <c r="K654">
        <v>-7.2398190045248806E-2</v>
      </c>
      <c r="L654">
        <v>-32</v>
      </c>
      <c r="M654">
        <f t="shared" si="43"/>
        <v>-1.291579792877765E-2</v>
      </c>
      <c r="N654">
        <v>442</v>
      </c>
    </row>
    <row r="655" spans="1:14" x14ac:dyDescent="0.25">
      <c r="A655" s="1">
        <v>44049</v>
      </c>
      <c r="B655" s="1">
        <f t="shared" si="40"/>
        <v>2020</v>
      </c>
      <c r="C655" s="1" t="str">
        <f t="shared" si="41"/>
        <v>Aug</v>
      </c>
      <c r="D655">
        <v>504.10998499999999</v>
      </c>
      <c r="E655">
        <v>510.82000699999998</v>
      </c>
      <c r="F655">
        <v>498.70001200000002</v>
      </c>
      <c r="G655">
        <v>509.07998700000002</v>
      </c>
      <c r="H655">
        <v>509.07998700000002</v>
      </c>
      <c r="I655">
        <f t="shared" si="42"/>
        <v>4.9700020000000222</v>
      </c>
      <c r="J655">
        <v>3725900</v>
      </c>
      <c r="K655">
        <v>-3.86178861788617E-2</v>
      </c>
      <c r="L655">
        <v>-19</v>
      </c>
      <c r="M655">
        <f t="shared" si="43"/>
        <v>9.858963614854846E-3</v>
      </c>
      <c r="N655">
        <v>492</v>
      </c>
    </row>
    <row r="656" spans="1:14" x14ac:dyDescent="0.25">
      <c r="A656" s="1">
        <v>44050</v>
      </c>
      <c r="B656" s="1">
        <f t="shared" si="40"/>
        <v>2020</v>
      </c>
      <c r="C656" s="1" t="str">
        <f t="shared" si="41"/>
        <v>Aug</v>
      </c>
      <c r="D656">
        <v>505.45001200000002</v>
      </c>
      <c r="E656">
        <v>508.290009</v>
      </c>
      <c r="F656">
        <v>486.67999300000002</v>
      </c>
      <c r="G656">
        <v>494.73001099999999</v>
      </c>
      <c r="H656">
        <v>494.73001099999999</v>
      </c>
      <c r="I656">
        <f t="shared" si="42"/>
        <v>-10.720001000000025</v>
      </c>
      <c r="J656">
        <v>5910300</v>
      </c>
      <c r="K656">
        <v>-4.98154981549815E-2</v>
      </c>
      <c r="L656">
        <v>-27</v>
      </c>
      <c r="M656">
        <f t="shared" si="43"/>
        <v>-2.1208825295269802E-2</v>
      </c>
      <c r="N656">
        <v>542</v>
      </c>
    </row>
    <row r="657" spans="1:14" x14ac:dyDescent="0.25">
      <c r="A657" s="1">
        <v>44053</v>
      </c>
      <c r="B657" s="1">
        <f t="shared" si="40"/>
        <v>2020</v>
      </c>
      <c r="C657" s="1" t="str">
        <f t="shared" si="41"/>
        <v>Aug</v>
      </c>
      <c r="D657">
        <v>493.35000600000001</v>
      </c>
      <c r="E657">
        <v>497.459991</v>
      </c>
      <c r="F657">
        <v>478.63000499999998</v>
      </c>
      <c r="G657">
        <v>483.38000499999998</v>
      </c>
      <c r="H657">
        <v>483.38000499999998</v>
      </c>
      <c r="I657">
        <f t="shared" si="42"/>
        <v>-9.9700010000000248</v>
      </c>
      <c r="J657">
        <v>4691200</v>
      </c>
      <c r="K657">
        <v>-3.6781609195402298E-2</v>
      </c>
      <c r="L657">
        <v>-16</v>
      </c>
      <c r="M657">
        <f t="shared" si="43"/>
        <v>-2.0208778511700321E-2</v>
      </c>
      <c r="N657">
        <v>435</v>
      </c>
    </row>
    <row r="658" spans="1:14" x14ac:dyDescent="0.25">
      <c r="A658" s="1">
        <v>44054</v>
      </c>
      <c r="B658" s="1">
        <f t="shared" si="40"/>
        <v>2020</v>
      </c>
      <c r="C658" s="1" t="str">
        <f t="shared" si="41"/>
        <v>Aug</v>
      </c>
      <c r="D658">
        <v>479.75</v>
      </c>
      <c r="E658">
        <v>480.92001299999998</v>
      </c>
      <c r="F658">
        <v>466.54998799999998</v>
      </c>
      <c r="G658">
        <v>466.92999300000002</v>
      </c>
      <c r="H658">
        <v>466.92999300000002</v>
      </c>
      <c r="I658">
        <f t="shared" si="42"/>
        <v>-12.820006999999976</v>
      </c>
      <c r="J658">
        <v>7329200</v>
      </c>
      <c r="K658">
        <v>-4.9916805324459197E-2</v>
      </c>
      <c r="L658">
        <v>-30</v>
      </c>
      <c r="M658">
        <f t="shared" si="43"/>
        <v>-2.6722265763418396E-2</v>
      </c>
      <c r="N658">
        <v>601</v>
      </c>
    </row>
    <row r="659" spans="1:14" x14ac:dyDescent="0.25">
      <c r="A659" s="1">
        <v>44055</v>
      </c>
      <c r="B659" s="1">
        <f t="shared" si="40"/>
        <v>2020</v>
      </c>
      <c r="C659" s="1" t="str">
        <f t="shared" si="41"/>
        <v>Aug</v>
      </c>
      <c r="D659">
        <v>471.33999599999999</v>
      </c>
      <c r="E659">
        <v>482.48998999999998</v>
      </c>
      <c r="F659">
        <v>470.17999300000002</v>
      </c>
      <c r="G659">
        <v>475.47000100000002</v>
      </c>
      <c r="H659">
        <v>475.47000100000002</v>
      </c>
      <c r="I659">
        <f t="shared" si="42"/>
        <v>4.1300050000000397</v>
      </c>
      <c r="J659">
        <v>5439200</v>
      </c>
      <c r="K659">
        <v>-3.7931034482758599E-2</v>
      </c>
      <c r="L659">
        <v>-22</v>
      </c>
      <c r="M659">
        <f t="shared" si="43"/>
        <v>8.762262984361802E-3</v>
      </c>
      <c r="N659">
        <v>580</v>
      </c>
    </row>
    <row r="660" spans="1:14" x14ac:dyDescent="0.25">
      <c r="A660" s="1">
        <v>44056</v>
      </c>
      <c r="B660" s="1">
        <f t="shared" si="40"/>
        <v>2020</v>
      </c>
      <c r="C660" s="1" t="str">
        <f t="shared" si="41"/>
        <v>Aug</v>
      </c>
      <c r="D660">
        <v>478.39999399999999</v>
      </c>
      <c r="E660">
        <v>484.45001200000002</v>
      </c>
      <c r="F660">
        <v>476.45001200000002</v>
      </c>
      <c r="G660">
        <v>481.32998700000002</v>
      </c>
      <c r="H660">
        <v>481.32998700000002</v>
      </c>
      <c r="I660">
        <f t="shared" si="42"/>
        <v>2.9299930000000245</v>
      </c>
      <c r="J660">
        <v>3008900</v>
      </c>
      <c r="K660">
        <v>-2.6373626373626301E-2</v>
      </c>
      <c r="L660">
        <v>-12</v>
      </c>
      <c r="M660">
        <f t="shared" si="43"/>
        <v>6.1245673845054952E-3</v>
      </c>
      <c r="N660">
        <v>455</v>
      </c>
    </row>
    <row r="661" spans="1:14" x14ac:dyDescent="0.25">
      <c r="A661" s="1">
        <v>44057</v>
      </c>
      <c r="B661" s="1">
        <f t="shared" si="40"/>
        <v>2020</v>
      </c>
      <c r="C661" s="1" t="str">
        <f t="shared" si="41"/>
        <v>Aug</v>
      </c>
      <c r="D661">
        <v>482.82000699999998</v>
      </c>
      <c r="E661">
        <v>488.32998700000002</v>
      </c>
      <c r="F661">
        <v>480.209991</v>
      </c>
      <c r="G661">
        <v>482.67999300000002</v>
      </c>
      <c r="H661">
        <v>482.67999300000002</v>
      </c>
      <c r="I661">
        <f t="shared" si="42"/>
        <v>-0.14001399999995101</v>
      </c>
      <c r="J661">
        <v>2943500</v>
      </c>
      <c r="K661">
        <v>-5.2896725440806001E-2</v>
      </c>
      <c r="L661">
        <v>-21</v>
      </c>
      <c r="M661">
        <f t="shared" si="43"/>
        <v>-2.8999212536764453E-4</v>
      </c>
      <c r="N661">
        <v>397</v>
      </c>
    </row>
    <row r="662" spans="1:14" x14ac:dyDescent="0.25">
      <c r="A662" s="1">
        <v>44060</v>
      </c>
      <c r="B662" s="1">
        <f t="shared" si="40"/>
        <v>2020</v>
      </c>
      <c r="C662" s="1" t="str">
        <f t="shared" si="41"/>
        <v>Aug</v>
      </c>
      <c r="D662">
        <v>484.19000199999999</v>
      </c>
      <c r="E662">
        <v>486.23998999999998</v>
      </c>
      <c r="F662">
        <v>479.10000600000001</v>
      </c>
      <c r="G662">
        <v>482.35000600000001</v>
      </c>
      <c r="H662">
        <v>482.35000600000001</v>
      </c>
      <c r="I662">
        <f t="shared" si="42"/>
        <v>-1.8399959999999851</v>
      </c>
      <c r="J662">
        <v>2423500</v>
      </c>
      <c r="K662">
        <v>-3.3816425120772903E-2</v>
      </c>
      <c r="L662">
        <v>-14</v>
      </c>
      <c r="M662">
        <f t="shared" si="43"/>
        <v>-3.8001528168687486E-3</v>
      </c>
      <c r="N662">
        <v>414</v>
      </c>
    </row>
    <row r="663" spans="1:14" x14ac:dyDescent="0.25">
      <c r="A663" s="1">
        <v>44061</v>
      </c>
      <c r="B663" s="1">
        <f t="shared" si="40"/>
        <v>2020</v>
      </c>
      <c r="C663" s="1" t="str">
        <f t="shared" si="41"/>
        <v>Aug</v>
      </c>
      <c r="D663">
        <v>484.35000600000001</v>
      </c>
      <c r="E663">
        <v>495.29998799999998</v>
      </c>
      <c r="F663">
        <v>482.79998799999998</v>
      </c>
      <c r="G663">
        <v>491.86999500000002</v>
      </c>
      <c r="H663">
        <v>491.86999500000002</v>
      </c>
      <c r="I663">
        <f t="shared" si="42"/>
        <v>7.5199890000000096</v>
      </c>
      <c r="J663">
        <v>3505500</v>
      </c>
      <c r="K663">
        <v>-4.3243243243243197E-2</v>
      </c>
      <c r="L663">
        <v>-24</v>
      </c>
      <c r="M663">
        <f t="shared" si="43"/>
        <v>1.552593972714849E-2</v>
      </c>
      <c r="N663">
        <v>555</v>
      </c>
    </row>
    <row r="664" spans="1:14" x14ac:dyDescent="0.25">
      <c r="A664" s="1">
        <v>44062</v>
      </c>
      <c r="B664" s="1">
        <f t="shared" si="40"/>
        <v>2020</v>
      </c>
      <c r="C664" s="1" t="str">
        <f t="shared" si="41"/>
        <v>Aug</v>
      </c>
      <c r="D664">
        <v>493.92999300000002</v>
      </c>
      <c r="E664">
        <v>494.5</v>
      </c>
      <c r="F664">
        <v>483.5</v>
      </c>
      <c r="G664">
        <v>484.52999899999998</v>
      </c>
      <c r="H664">
        <v>484.52999899999998</v>
      </c>
      <c r="I664">
        <f t="shared" si="42"/>
        <v>-9.3999940000000493</v>
      </c>
      <c r="J664">
        <v>3156200</v>
      </c>
      <c r="K664">
        <v>-5.4054054054054002E-2</v>
      </c>
      <c r="L664">
        <v>-28</v>
      </c>
      <c r="M664">
        <f t="shared" si="43"/>
        <v>-1.9031024908827614E-2</v>
      </c>
      <c r="N664">
        <v>518</v>
      </c>
    </row>
    <row r="665" spans="1:14" x14ac:dyDescent="0.25">
      <c r="A665" s="1">
        <v>44063</v>
      </c>
      <c r="B665" s="1">
        <f t="shared" si="40"/>
        <v>2020</v>
      </c>
      <c r="C665" s="1" t="str">
        <f t="shared" si="41"/>
        <v>Aug</v>
      </c>
      <c r="D665">
        <v>484.69000199999999</v>
      </c>
      <c r="E665">
        <v>498.94000199999999</v>
      </c>
      <c r="F665">
        <v>483.89001500000001</v>
      </c>
      <c r="G665">
        <v>497.89999399999999</v>
      </c>
      <c r="H665">
        <v>497.89999399999999</v>
      </c>
      <c r="I665">
        <f t="shared" si="42"/>
        <v>13.209992</v>
      </c>
      <c r="J665">
        <v>5132500</v>
      </c>
      <c r="K665">
        <v>-3.0534351145038101E-2</v>
      </c>
      <c r="L665">
        <v>-16</v>
      </c>
      <c r="M665">
        <f t="shared" si="43"/>
        <v>2.7254517207887446E-2</v>
      </c>
      <c r="N665">
        <v>524</v>
      </c>
    </row>
    <row r="666" spans="1:14" x14ac:dyDescent="0.25">
      <c r="A666" s="1">
        <v>44064</v>
      </c>
      <c r="B666" s="1">
        <f t="shared" si="40"/>
        <v>2020</v>
      </c>
      <c r="C666" s="1" t="str">
        <f t="shared" si="41"/>
        <v>Aug</v>
      </c>
      <c r="D666">
        <v>496.459991</v>
      </c>
      <c r="E666">
        <v>498.13000499999998</v>
      </c>
      <c r="F666">
        <v>490</v>
      </c>
      <c r="G666">
        <v>492.30999800000001</v>
      </c>
      <c r="H666">
        <v>492.30999800000001</v>
      </c>
      <c r="I666">
        <f t="shared" si="42"/>
        <v>-4.1499929999999949</v>
      </c>
      <c r="J666">
        <v>3921300</v>
      </c>
      <c r="K666">
        <v>-7.1283095723014195E-2</v>
      </c>
      <c r="L666">
        <v>-35</v>
      </c>
      <c r="M666">
        <f t="shared" si="43"/>
        <v>-8.3591690674626688E-3</v>
      </c>
      <c r="N666">
        <v>491</v>
      </c>
    </row>
    <row r="667" spans="1:14" x14ac:dyDescent="0.25">
      <c r="A667" s="1">
        <v>44067</v>
      </c>
      <c r="B667" s="1">
        <f t="shared" si="40"/>
        <v>2020</v>
      </c>
      <c r="C667" s="1" t="str">
        <f t="shared" si="41"/>
        <v>Aug</v>
      </c>
      <c r="D667">
        <v>495.44000199999999</v>
      </c>
      <c r="E667">
        <v>501</v>
      </c>
      <c r="F667">
        <v>483.16000400000001</v>
      </c>
      <c r="G667">
        <v>488.80999800000001</v>
      </c>
      <c r="H667">
        <v>488.80999800000001</v>
      </c>
      <c r="I667">
        <f t="shared" si="42"/>
        <v>-6.6300039999999854</v>
      </c>
      <c r="J667">
        <v>4762200</v>
      </c>
      <c r="K667">
        <v>-6.2634989200863897E-2</v>
      </c>
      <c r="L667">
        <v>-29</v>
      </c>
      <c r="M667">
        <f t="shared" si="43"/>
        <v>-1.3382052263111337E-2</v>
      </c>
      <c r="N667">
        <v>463</v>
      </c>
    </row>
    <row r="668" spans="1:14" x14ac:dyDescent="0.25">
      <c r="A668" s="1">
        <v>44068</v>
      </c>
      <c r="B668" s="1">
        <f t="shared" si="40"/>
        <v>2020</v>
      </c>
      <c r="C668" s="1" t="str">
        <f t="shared" si="41"/>
        <v>Aug</v>
      </c>
      <c r="D668">
        <v>488.19000199999999</v>
      </c>
      <c r="E668">
        <v>492.47000100000002</v>
      </c>
      <c r="F668">
        <v>485.08999599999999</v>
      </c>
      <c r="G668">
        <v>490.57998700000002</v>
      </c>
      <c r="H668">
        <v>490.57998700000002</v>
      </c>
      <c r="I668">
        <f t="shared" si="42"/>
        <v>2.3899850000000242</v>
      </c>
      <c r="J668">
        <v>5727700</v>
      </c>
      <c r="K668">
        <v>-6.0344827586206899E-2</v>
      </c>
      <c r="L668">
        <v>-28</v>
      </c>
      <c r="M668">
        <f t="shared" si="43"/>
        <v>4.8956041504512916E-3</v>
      </c>
      <c r="N668">
        <v>464</v>
      </c>
    </row>
    <row r="669" spans="1:14" x14ac:dyDescent="0.25">
      <c r="A669" s="1">
        <v>44069</v>
      </c>
      <c r="B669" s="1">
        <f t="shared" si="40"/>
        <v>2020</v>
      </c>
      <c r="C669" s="1" t="str">
        <f t="shared" si="41"/>
        <v>Aug</v>
      </c>
      <c r="D669">
        <v>492.5</v>
      </c>
      <c r="E669">
        <v>549.03997800000002</v>
      </c>
      <c r="F669">
        <v>492.07998700000002</v>
      </c>
      <c r="G669">
        <v>547.53002900000001</v>
      </c>
      <c r="H669">
        <v>547.53002900000001</v>
      </c>
      <c r="I669">
        <f t="shared" si="42"/>
        <v>55.030029000000013</v>
      </c>
      <c r="J669">
        <v>20373700</v>
      </c>
      <c r="K669">
        <v>4.6326935804102999E-3</v>
      </c>
      <c r="L669">
        <v>7</v>
      </c>
      <c r="M669">
        <f t="shared" si="43"/>
        <v>0.11173609949238582</v>
      </c>
      <c r="N669">
        <v>1511</v>
      </c>
    </row>
    <row r="670" spans="1:14" x14ac:dyDescent="0.25">
      <c r="A670" s="1">
        <v>44070</v>
      </c>
      <c r="B670" s="1">
        <f t="shared" si="40"/>
        <v>2020</v>
      </c>
      <c r="C670" s="1" t="str">
        <f t="shared" si="41"/>
        <v>Aug</v>
      </c>
      <c r="D670">
        <v>537.78002900000001</v>
      </c>
      <c r="E670">
        <v>541</v>
      </c>
      <c r="F670">
        <v>521.25</v>
      </c>
      <c r="G670">
        <v>526.27002000000005</v>
      </c>
      <c r="H670">
        <v>526.27002000000005</v>
      </c>
      <c r="I670">
        <f t="shared" si="42"/>
        <v>-11.510008999999968</v>
      </c>
      <c r="J670">
        <v>9062900</v>
      </c>
      <c r="K670">
        <v>3.0211480362537001E-3</v>
      </c>
      <c r="L670">
        <v>2</v>
      </c>
      <c r="M670">
        <f t="shared" si="43"/>
        <v>-2.1402819701956555E-2</v>
      </c>
      <c r="N670">
        <v>662</v>
      </c>
    </row>
    <row r="671" spans="1:14" x14ac:dyDescent="0.25">
      <c r="A671" s="1">
        <v>44071</v>
      </c>
      <c r="B671" s="1">
        <f t="shared" si="40"/>
        <v>2020</v>
      </c>
      <c r="C671" s="1" t="str">
        <f t="shared" si="41"/>
        <v>Aug</v>
      </c>
      <c r="D671">
        <v>532</v>
      </c>
      <c r="E671">
        <v>539</v>
      </c>
      <c r="F671">
        <v>522</v>
      </c>
      <c r="G671">
        <v>523.89001499999995</v>
      </c>
      <c r="H671">
        <v>523.89001499999995</v>
      </c>
      <c r="I671">
        <f t="shared" si="42"/>
        <v>-8.1099850000000515</v>
      </c>
      <c r="J671">
        <v>4417500</v>
      </c>
      <c r="K671">
        <v>4.9382716049382004E-3</v>
      </c>
      <c r="L671">
        <v>2</v>
      </c>
      <c r="M671">
        <f t="shared" si="43"/>
        <v>-1.5244332706767014E-2</v>
      </c>
      <c r="N671">
        <v>405</v>
      </c>
    </row>
    <row r="672" spans="1:14" x14ac:dyDescent="0.25">
      <c r="A672" s="1">
        <v>44074</v>
      </c>
      <c r="B672" s="1">
        <f t="shared" si="40"/>
        <v>2020</v>
      </c>
      <c r="C672" s="1" t="str">
        <f t="shared" si="41"/>
        <v>Aug</v>
      </c>
      <c r="D672">
        <v>521.15997300000004</v>
      </c>
      <c r="E672">
        <v>531.98999000000003</v>
      </c>
      <c r="F672">
        <v>517.580017</v>
      </c>
      <c r="G672">
        <v>529.55999799999995</v>
      </c>
      <c r="H672">
        <v>529.55999799999995</v>
      </c>
      <c r="I672">
        <f t="shared" si="42"/>
        <v>8.4000249999999141</v>
      </c>
      <c r="J672">
        <v>4941400</v>
      </c>
      <c r="K672">
        <v>-1.7475728155339799E-2</v>
      </c>
      <c r="L672">
        <v>-9</v>
      </c>
      <c r="M672">
        <f t="shared" si="43"/>
        <v>1.6117939663796692E-2</v>
      </c>
      <c r="N672">
        <v>515</v>
      </c>
    </row>
    <row r="673" spans="1:14" x14ac:dyDescent="0.25">
      <c r="A673" s="1">
        <v>44075</v>
      </c>
      <c r="B673" s="1">
        <f t="shared" si="40"/>
        <v>2020</v>
      </c>
      <c r="C673" s="1" t="str">
        <f t="shared" si="41"/>
        <v>Sep</v>
      </c>
      <c r="D673">
        <v>532.59997599999997</v>
      </c>
      <c r="E673">
        <v>557.39001499999995</v>
      </c>
      <c r="F673">
        <v>532.45001200000002</v>
      </c>
      <c r="G673">
        <v>556.54998799999998</v>
      </c>
      <c r="H673">
        <v>556.54998799999998</v>
      </c>
      <c r="I673">
        <f t="shared" si="42"/>
        <v>23.950012000000015</v>
      </c>
      <c r="J673">
        <v>9572700</v>
      </c>
      <c r="K673">
        <v>3.5161744022503501E-2</v>
      </c>
      <c r="L673">
        <v>25</v>
      </c>
      <c r="M673">
        <f t="shared" si="43"/>
        <v>4.4968105668859469E-2</v>
      </c>
      <c r="N673">
        <v>711</v>
      </c>
    </row>
    <row r="674" spans="1:14" x14ac:dyDescent="0.25">
      <c r="A674" s="1">
        <v>44076</v>
      </c>
      <c r="B674" s="1">
        <f t="shared" si="40"/>
        <v>2020</v>
      </c>
      <c r="C674" s="1" t="str">
        <f t="shared" si="41"/>
        <v>Sep</v>
      </c>
      <c r="D674">
        <v>553.78002900000001</v>
      </c>
      <c r="E674">
        <v>556.5</v>
      </c>
      <c r="F674">
        <v>537.36999500000002</v>
      </c>
      <c r="G674">
        <v>552.84002699999996</v>
      </c>
      <c r="H674">
        <v>552.84002699999996</v>
      </c>
      <c r="I674">
        <f t="shared" si="42"/>
        <v>-0.94000200000004952</v>
      </c>
      <c r="J674">
        <v>5886900</v>
      </c>
      <c r="K674">
        <v>-3.9711191335739998E-2</v>
      </c>
      <c r="L674">
        <v>-22</v>
      </c>
      <c r="M674">
        <f t="shared" si="43"/>
        <v>-1.6974284928574944E-3</v>
      </c>
      <c r="N674">
        <v>554</v>
      </c>
    </row>
    <row r="675" spans="1:14" x14ac:dyDescent="0.25">
      <c r="A675" s="1">
        <v>44077</v>
      </c>
      <c r="B675" s="1">
        <f t="shared" si="40"/>
        <v>2020</v>
      </c>
      <c r="C675" s="1" t="str">
        <f t="shared" si="41"/>
        <v>Sep</v>
      </c>
      <c r="D675">
        <v>545</v>
      </c>
      <c r="E675">
        <v>554</v>
      </c>
      <c r="F675">
        <v>521.32000700000003</v>
      </c>
      <c r="G675">
        <v>525.75</v>
      </c>
      <c r="H675">
        <v>525.75</v>
      </c>
      <c r="I675">
        <f t="shared" si="42"/>
        <v>-19.25</v>
      </c>
      <c r="J675">
        <v>9071100</v>
      </c>
      <c r="K675">
        <v>-0.151898734177215</v>
      </c>
      <c r="L675">
        <v>-72</v>
      </c>
      <c r="M675">
        <f t="shared" si="43"/>
        <v>-3.5321100917431195E-2</v>
      </c>
      <c r="N675">
        <v>474</v>
      </c>
    </row>
    <row r="676" spans="1:14" x14ac:dyDescent="0.25">
      <c r="A676" s="1">
        <v>44078</v>
      </c>
      <c r="B676" s="1">
        <f t="shared" si="40"/>
        <v>2020</v>
      </c>
      <c r="C676" s="1" t="str">
        <f t="shared" si="41"/>
        <v>Sep</v>
      </c>
      <c r="D676">
        <v>520.17999299999997</v>
      </c>
      <c r="E676">
        <v>527.35998500000005</v>
      </c>
      <c r="F676">
        <v>485.98001099999999</v>
      </c>
      <c r="G676">
        <v>516.04998799999998</v>
      </c>
      <c r="H676">
        <v>516.04998799999998</v>
      </c>
      <c r="I676">
        <f t="shared" si="42"/>
        <v>-4.1300049999999828</v>
      </c>
      <c r="J676">
        <v>8270100</v>
      </c>
      <c r="K676">
        <v>-6.31808278867102E-2</v>
      </c>
      <c r="L676">
        <v>-29</v>
      </c>
      <c r="M676">
        <f t="shared" si="43"/>
        <v>-7.9395691021895629E-3</v>
      </c>
      <c r="N676">
        <v>459</v>
      </c>
    </row>
    <row r="677" spans="1:14" x14ac:dyDescent="0.25">
      <c r="A677" s="1">
        <v>44082</v>
      </c>
      <c r="B677" s="1">
        <f t="shared" si="40"/>
        <v>2020</v>
      </c>
      <c r="C677" s="1" t="str">
        <f t="shared" si="41"/>
        <v>Sep</v>
      </c>
      <c r="D677">
        <v>498.39999399999999</v>
      </c>
      <c r="E677">
        <v>522</v>
      </c>
      <c r="F677">
        <v>495</v>
      </c>
      <c r="G677">
        <v>507.01998900000001</v>
      </c>
      <c r="H677">
        <v>507.01998900000001</v>
      </c>
      <c r="I677">
        <f t="shared" si="42"/>
        <v>8.6199950000000172</v>
      </c>
      <c r="J677">
        <v>5572700</v>
      </c>
      <c r="K677">
        <v>-2.5793650793650699E-2</v>
      </c>
      <c r="L677">
        <v>-13</v>
      </c>
      <c r="M677">
        <f t="shared" si="43"/>
        <v>1.7295335280441471E-2</v>
      </c>
      <c r="N677">
        <v>504</v>
      </c>
    </row>
    <row r="678" spans="1:14" x14ac:dyDescent="0.25">
      <c r="A678" s="1">
        <v>44083</v>
      </c>
      <c r="B678" s="1">
        <f t="shared" si="40"/>
        <v>2020</v>
      </c>
      <c r="C678" s="1" t="str">
        <f t="shared" si="41"/>
        <v>Sep</v>
      </c>
      <c r="D678">
        <v>519.21002199999998</v>
      </c>
      <c r="E678">
        <v>520</v>
      </c>
      <c r="F678">
        <v>492.57000699999998</v>
      </c>
      <c r="G678">
        <v>500.19000199999999</v>
      </c>
      <c r="H678">
        <v>500.19000199999999</v>
      </c>
      <c r="I678">
        <f t="shared" si="42"/>
        <v>-19.020019999999988</v>
      </c>
      <c r="J678">
        <v>6848100</v>
      </c>
      <c r="K678">
        <v>-8.9430894308942993E-2</v>
      </c>
      <c r="L678">
        <v>-44</v>
      </c>
      <c r="M678">
        <f t="shared" si="43"/>
        <v>-3.6632613382027494E-2</v>
      </c>
      <c r="N678">
        <v>492</v>
      </c>
    </row>
    <row r="679" spans="1:14" x14ac:dyDescent="0.25">
      <c r="A679" s="1">
        <v>44084</v>
      </c>
      <c r="B679" s="1">
        <f t="shared" si="40"/>
        <v>2020</v>
      </c>
      <c r="C679" s="1" t="str">
        <f t="shared" si="41"/>
        <v>Sep</v>
      </c>
      <c r="D679">
        <v>503.35000600000001</v>
      </c>
      <c r="E679">
        <v>506.290009</v>
      </c>
      <c r="F679">
        <v>478.83999599999999</v>
      </c>
      <c r="G679">
        <v>480.67001299999998</v>
      </c>
      <c r="H679">
        <v>480.67001299999998</v>
      </c>
      <c r="I679">
        <f t="shared" si="42"/>
        <v>-22.679993000000024</v>
      </c>
      <c r="J679">
        <v>6240200</v>
      </c>
      <c r="K679">
        <v>-0.237924865831842</v>
      </c>
      <c r="L679">
        <v>-133</v>
      </c>
      <c r="M679">
        <f t="shared" si="43"/>
        <v>-4.5058096214664639E-2</v>
      </c>
      <c r="N679">
        <v>559</v>
      </c>
    </row>
    <row r="680" spans="1:14" x14ac:dyDescent="0.25">
      <c r="A680" s="1">
        <v>44085</v>
      </c>
      <c r="B680" s="1">
        <f t="shared" si="40"/>
        <v>2020</v>
      </c>
      <c r="C680" s="1" t="str">
        <f t="shared" si="41"/>
        <v>Sep</v>
      </c>
      <c r="D680">
        <v>486.48998999999998</v>
      </c>
      <c r="E680">
        <v>493.73001099999999</v>
      </c>
      <c r="F680">
        <v>476.80999800000001</v>
      </c>
      <c r="G680">
        <v>482.02999899999998</v>
      </c>
      <c r="H680">
        <v>482.02999899999998</v>
      </c>
      <c r="I680">
        <f t="shared" si="42"/>
        <v>-4.4599910000000023</v>
      </c>
      <c r="J680">
        <v>5035200</v>
      </c>
      <c r="K680">
        <v>-0.25806451612903197</v>
      </c>
      <c r="L680">
        <v>-112</v>
      </c>
      <c r="M680">
        <f t="shared" si="43"/>
        <v>-9.1676932551068568E-3</v>
      </c>
      <c r="N680">
        <v>434</v>
      </c>
    </row>
    <row r="681" spans="1:14" x14ac:dyDescent="0.25">
      <c r="A681" s="1">
        <v>44088</v>
      </c>
      <c r="B681" s="1">
        <f t="shared" si="40"/>
        <v>2020</v>
      </c>
      <c r="C681" s="1" t="str">
        <f t="shared" si="41"/>
        <v>Sep</v>
      </c>
      <c r="D681">
        <v>480.61999500000002</v>
      </c>
      <c r="E681">
        <v>488.98998999999998</v>
      </c>
      <c r="F681">
        <v>471.29998799999998</v>
      </c>
      <c r="G681">
        <v>476.26001000000002</v>
      </c>
      <c r="H681">
        <v>476.26001000000002</v>
      </c>
      <c r="I681">
        <f t="shared" si="42"/>
        <v>-4.3599849999999947</v>
      </c>
      <c r="J681">
        <v>7359100</v>
      </c>
      <c r="K681">
        <v>-0.13171577123050199</v>
      </c>
      <c r="L681">
        <v>-76</v>
      </c>
      <c r="M681">
        <f t="shared" si="43"/>
        <v>-9.0715847142397704E-3</v>
      </c>
      <c r="N681">
        <v>577</v>
      </c>
    </row>
    <row r="682" spans="1:14" x14ac:dyDescent="0.25">
      <c r="A682" s="1">
        <v>44089</v>
      </c>
      <c r="B682" s="1">
        <f t="shared" si="40"/>
        <v>2020</v>
      </c>
      <c r="C682" s="1" t="str">
        <f t="shared" si="41"/>
        <v>Sep</v>
      </c>
      <c r="D682">
        <v>484</v>
      </c>
      <c r="E682">
        <v>497.47000100000002</v>
      </c>
      <c r="F682">
        <v>481.63000499999998</v>
      </c>
      <c r="G682">
        <v>495.98998999999998</v>
      </c>
      <c r="H682">
        <v>495.98998999999998</v>
      </c>
      <c r="I682">
        <f t="shared" si="42"/>
        <v>11.989989999999977</v>
      </c>
      <c r="J682">
        <v>5337000</v>
      </c>
      <c r="K682">
        <v>-7.6642335766423306E-2</v>
      </c>
      <c r="L682">
        <v>-42</v>
      </c>
      <c r="M682">
        <f t="shared" si="43"/>
        <v>2.4772706611570203E-2</v>
      </c>
      <c r="N682">
        <v>548</v>
      </c>
    </row>
    <row r="683" spans="1:14" x14ac:dyDescent="0.25">
      <c r="A683" s="1">
        <v>44090</v>
      </c>
      <c r="B683" s="1">
        <f t="shared" si="40"/>
        <v>2020</v>
      </c>
      <c r="C683" s="1" t="str">
        <f t="shared" si="41"/>
        <v>Sep</v>
      </c>
      <c r="D683">
        <v>499.98998999999998</v>
      </c>
      <c r="E683">
        <v>504.66000400000001</v>
      </c>
      <c r="F683">
        <v>483.30999800000001</v>
      </c>
      <c r="G683">
        <v>483.85998499999999</v>
      </c>
      <c r="H683">
        <v>483.85998499999999</v>
      </c>
      <c r="I683">
        <f t="shared" si="42"/>
        <v>-16.130004999999983</v>
      </c>
      <c r="J683">
        <v>4394900</v>
      </c>
      <c r="K683">
        <v>-0.11739130434782601</v>
      </c>
      <c r="L683">
        <v>-54</v>
      </c>
      <c r="M683">
        <f t="shared" si="43"/>
        <v>-3.2260655858330253E-2</v>
      </c>
      <c r="N683">
        <v>460</v>
      </c>
    </row>
    <row r="684" spans="1:14" x14ac:dyDescent="0.25">
      <c r="A684" s="1">
        <v>44091</v>
      </c>
      <c r="B684" s="1">
        <f t="shared" si="40"/>
        <v>2020</v>
      </c>
      <c r="C684" s="1" t="str">
        <f t="shared" si="41"/>
        <v>Sep</v>
      </c>
      <c r="D684">
        <v>475.16000400000001</v>
      </c>
      <c r="E684">
        <v>478.39999399999999</v>
      </c>
      <c r="F684">
        <v>463.26998900000001</v>
      </c>
      <c r="G684">
        <v>470.20001200000002</v>
      </c>
      <c r="H684">
        <v>470.20001200000002</v>
      </c>
      <c r="I684">
        <f t="shared" si="42"/>
        <v>-4.9599919999999997</v>
      </c>
      <c r="J684">
        <v>5379300</v>
      </c>
      <c r="K684">
        <v>-0.115207373271889</v>
      </c>
      <c r="L684">
        <v>-50</v>
      </c>
      <c r="M684">
        <f t="shared" si="43"/>
        <v>-1.0438572182518964E-2</v>
      </c>
      <c r="N684">
        <v>434</v>
      </c>
    </row>
    <row r="685" spans="1:14" x14ac:dyDescent="0.25">
      <c r="A685" s="1">
        <v>44092</v>
      </c>
      <c r="B685" s="1">
        <f t="shared" si="40"/>
        <v>2020</v>
      </c>
      <c r="C685" s="1" t="str">
        <f t="shared" si="41"/>
        <v>Sep</v>
      </c>
      <c r="D685">
        <v>472.51001000000002</v>
      </c>
      <c r="E685">
        <v>479.39999399999999</v>
      </c>
      <c r="F685">
        <v>458.60000600000001</v>
      </c>
      <c r="G685">
        <v>469.959991</v>
      </c>
      <c r="H685">
        <v>469.959991</v>
      </c>
      <c r="I685">
        <f t="shared" si="42"/>
        <v>-2.5500190000000202</v>
      </c>
      <c r="J685">
        <v>6717700</v>
      </c>
      <c r="K685">
        <v>-0.130023640661938</v>
      </c>
      <c r="L685">
        <v>-55</v>
      </c>
      <c r="M685">
        <f t="shared" si="43"/>
        <v>-5.3967512772904432E-3</v>
      </c>
      <c r="N685">
        <v>423</v>
      </c>
    </row>
    <row r="686" spans="1:14" x14ac:dyDescent="0.25">
      <c r="A686" s="1">
        <v>44095</v>
      </c>
      <c r="B686" s="1">
        <f t="shared" si="40"/>
        <v>2020</v>
      </c>
      <c r="C686" s="1" t="str">
        <f t="shared" si="41"/>
        <v>Sep</v>
      </c>
      <c r="D686">
        <v>467.69000199999999</v>
      </c>
      <c r="E686">
        <v>487.77999899999998</v>
      </c>
      <c r="F686">
        <v>466.32000699999998</v>
      </c>
      <c r="G686">
        <v>487.35000600000001</v>
      </c>
      <c r="H686">
        <v>487.35000600000001</v>
      </c>
      <c r="I686">
        <f t="shared" si="42"/>
        <v>19.660004000000015</v>
      </c>
      <c r="J686">
        <v>5457500</v>
      </c>
      <c r="K686">
        <v>-8.1168831168831099E-2</v>
      </c>
      <c r="L686">
        <v>-50</v>
      </c>
      <c r="M686">
        <f t="shared" si="43"/>
        <v>4.2036399999844376E-2</v>
      </c>
      <c r="N686">
        <v>616</v>
      </c>
    </row>
    <row r="687" spans="1:14" x14ac:dyDescent="0.25">
      <c r="A687" s="1">
        <v>44096</v>
      </c>
      <c r="B687" s="1">
        <f t="shared" si="40"/>
        <v>2020</v>
      </c>
      <c r="C687" s="1" t="str">
        <f t="shared" si="41"/>
        <v>Sep</v>
      </c>
      <c r="D687">
        <v>489.01001000000002</v>
      </c>
      <c r="E687">
        <v>491.82000699999998</v>
      </c>
      <c r="F687">
        <v>479.26001000000002</v>
      </c>
      <c r="G687">
        <v>491.17001299999998</v>
      </c>
      <c r="H687">
        <v>491.17001299999998</v>
      </c>
      <c r="I687">
        <f t="shared" si="42"/>
        <v>2.1600029999999606</v>
      </c>
      <c r="J687">
        <v>3482300</v>
      </c>
      <c r="K687">
        <v>-9.5238095238095004E-3</v>
      </c>
      <c r="L687">
        <v>-4</v>
      </c>
      <c r="M687">
        <f t="shared" si="43"/>
        <v>4.4170936296374806E-3</v>
      </c>
      <c r="N687">
        <v>420</v>
      </c>
    </row>
    <row r="688" spans="1:14" x14ac:dyDescent="0.25">
      <c r="A688" s="1">
        <v>44097</v>
      </c>
      <c r="B688" s="1">
        <f t="shared" si="40"/>
        <v>2020</v>
      </c>
      <c r="C688" s="1" t="str">
        <f t="shared" si="41"/>
        <v>Sep</v>
      </c>
      <c r="D688">
        <v>491.040009</v>
      </c>
      <c r="E688">
        <v>491.040009</v>
      </c>
      <c r="F688">
        <v>469</v>
      </c>
      <c r="G688">
        <v>470.60998499999999</v>
      </c>
      <c r="H688">
        <v>470.60998499999999</v>
      </c>
      <c r="I688">
        <f t="shared" si="42"/>
        <v>-20.430024000000003</v>
      </c>
      <c r="J688">
        <v>3726400</v>
      </c>
      <c r="K688">
        <v>-8.2429501084598705E-2</v>
      </c>
      <c r="L688">
        <v>-38</v>
      </c>
      <c r="M688">
        <f t="shared" si="43"/>
        <v>-4.1605619960796314E-2</v>
      </c>
      <c r="N688">
        <v>461</v>
      </c>
    </row>
    <row r="689" spans="1:14" x14ac:dyDescent="0.25">
      <c r="A689" s="1">
        <v>44098</v>
      </c>
      <c r="B689" s="1">
        <f t="shared" si="40"/>
        <v>2020</v>
      </c>
      <c r="C689" s="1" t="str">
        <f t="shared" si="41"/>
        <v>Sep</v>
      </c>
      <c r="D689">
        <v>470.52999899999998</v>
      </c>
      <c r="E689">
        <v>477</v>
      </c>
      <c r="F689">
        <v>467.82000699999998</v>
      </c>
      <c r="G689">
        <v>473.07998700000002</v>
      </c>
      <c r="H689">
        <v>473.07998700000002</v>
      </c>
      <c r="I689">
        <f t="shared" si="42"/>
        <v>2.5499880000000417</v>
      </c>
      <c r="J689">
        <v>3727200</v>
      </c>
      <c r="K689">
        <v>-5.39906103286385E-2</v>
      </c>
      <c r="L689">
        <v>-23</v>
      </c>
      <c r="M689">
        <f t="shared" si="43"/>
        <v>5.41939516166756E-3</v>
      </c>
      <c r="N689">
        <v>426</v>
      </c>
    </row>
    <row r="690" spans="1:14" x14ac:dyDescent="0.25">
      <c r="A690" s="1">
        <v>44099</v>
      </c>
      <c r="B690" s="1">
        <f t="shared" si="40"/>
        <v>2020</v>
      </c>
      <c r="C690" s="1" t="str">
        <f t="shared" si="41"/>
        <v>Sep</v>
      </c>
      <c r="D690">
        <v>474.39001500000001</v>
      </c>
      <c r="E690">
        <v>484.86999500000002</v>
      </c>
      <c r="F690">
        <v>468.02999899999998</v>
      </c>
      <c r="G690">
        <v>482.88000499999998</v>
      </c>
      <c r="H690">
        <v>482.88000499999998</v>
      </c>
      <c r="I690">
        <f t="shared" si="42"/>
        <v>8.4899899999999775</v>
      </c>
      <c r="J690">
        <v>3769400</v>
      </c>
      <c r="K690">
        <v>-7.4592074592074495E-2</v>
      </c>
      <c r="L690">
        <v>-32</v>
      </c>
      <c r="M690">
        <f t="shared" si="43"/>
        <v>1.7896645653471391E-2</v>
      </c>
      <c r="N690">
        <v>429</v>
      </c>
    </row>
    <row r="691" spans="1:14" x14ac:dyDescent="0.25">
      <c r="A691" s="1">
        <v>44102</v>
      </c>
      <c r="B691" s="1">
        <f t="shared" si="40"/>
        <v>2020</v>
      </c>
      <c r="C691" s="1" t="str">
        <f t="shared" si="41"/>
        <v>Sep</v>
      </c>
      <c r="D691">
        <v>489.10998499999999</v>
      </c>
      <c r="E691">
        <v>492</v>
      </c>
      <c r="F691">
        <v>477.88000499999998</v>
      </c>
      <c r="G691">
        <v>490.64999399999999</v>
      </c>
      <c r="H691">
        <v>490.64999399999999</v>
      </c>
      <c r="I691">
        <f t="shared" si="42"/>
        <v>1.5400089999999977</v>
      </c>
      <c r="J691">
        <v>4773500</v>
      </c>
      <c r="K691">
        <v>-5.2631578947368397E-2</v>
      </c>
      <c r="L691">
        <v>-23</v>
      </c>
      <c r="M691">
        <f t="shared" si="43"/>
        <v>3.1485944822819303E-3</v>
      </c>
      <c r="N691">
        <v>437</v>
      </c>
    </row>
    <row r="692" spans="1:14" x14ac:dyDescent="0.25">
      <c r="A692" s="1">
        <v>44103</v>
      </c>
      <c r="B692" s="1">
        <f t="shared" si="40"/>
        <v>2020</v>
      </c>
      <c r="C692" s="1" t="str">
        <f t="shared" si="41"/>
        <v>Sep</v>
      </c>
      <c r="D692">
        <v>489.5</v>
      </c>
      <c r="E692">
        <v>496.290009</v>
      </c>
      <c r="F692">
        <v>486.52999899999998</v>
      </c>
      <c r="G692">
        <v>493.48001099999999</v>
      </c>
      <c r="H692">
        <v>493.48001099999999</v>
      </c>
      <c r="I692">
        <f t="shared" si="42"/>
        <v>3.9800109999999904</v>
      </c>
      <c r="J692">
        <v>3541500</v>
      </c>
      <c r="K692">
        <v>-6.7099567099567103E-2</v>
      </c>
      <c r="L692">
        <v>-31</v>
      </c>
      <c r="M692">
        <f t="shared" si="43"/>
        <v>8.13076813074564E-3</v>
      </c>
      <c r="N692">
        <v>462</v>
      </c>
    </row>
    <row r="693" spans="1:14" x14ac:dyDescent="0.25">
      <c r="A693" s="1">
        <v>44104</v>
      </c>
      <c r="B693" s="1">
        <f t="shared" si="40"/>
        <v>2020</v>
      </c>
      <c r="C693" s="1" t="str">
        <f t="shared" si="41"/>
        <v>Sep</v>
      </c>
      <c r="D693">
        <v>492.57000699999998</v>
      </c>
      <c r="E693">
        <v>504.63000499999998</v>
      </c>
      <c r="F693">
        <v>489.26998900000001</v>
      </c>
      <c r="G693">
        <v>500.02999899999998</v>
      </c>
      <c r="H693">
        <v>500.02999899999998</v>
      </c>
      <c r="I693">
        <f t="shared" si="42"/>
        <v>7.4599919999999997</v>
      </c>
      <c r="J693">
        <v>4634100</v>
      </c>
      <c r="K693">
        <v>1.8711018711018702E-2</v>
      </c>
      <c r="L693">
        <v>9</v>
      </c>
      <c r="M693">
        <f t="shared" si="43"/>
        <v>1.5145039068527776E-2</v>
      </c>
      <c r="N693">
        <v>481</v>
      </c>
    </row>
    <row r="694" spans="1:14" x14ac:dyDescent="0.25">
      <c r="A694" s="1">
        <v>44105</v>
      </c>
      <c r="B694" s="1">
        <f t="shared" si="40"/>
        <v>2020</v>
      </c>
      <c r="C694" s="1" t="str">
        <f t="shared" si="41"/>
        <v>Oct</v>
      </c>
      <c r="D694">
        <v>506.02999899999998</v>
      </c>
      <c r="E694">
        <v>529.54998799999998</v>
      </c>
      <c r="F694">
        <v>503.60000600000001</v>
      </c>
      <c r="G694">
        <v>527.51000999999997</v>
      </c>
      <c r="H694">
        <v>527.51000999999997</v>
      </c>
      <c r="I694">
        <f t="shared" si="42"/>
        <v>21.48001099999999</v>
      </c>
      <c r="J694">
        <v>8153700</v>
      </c>
      <c r="K694">
        <v>1.40449438202247E-2</v>
      </c>
      <c r="L694">
        <v>10</v>
      </c>
      <c r="M694">
        <f t="shared" si="43"/>
        <v>4.2448098022741909E-2</v>
      </c>
      <c r="N694">
        <v>712</v>
      </c>
    </row>
    <row r="695" spans="1:14" x14ac:dyDescent="0.25">
      <c r="A695" s="1">
        <v>44106</v>
      </c>
      <c r="B695" s="1">
        <f t="shared" si="40"/>
        <v>2020</v>
      </c>
      <c r="C695" s="1" t="str">
        <f t="shared" si="41"/>
        <v>Oct</v>
      </c>
      <c r="D695">
        <v>516.42999299999997</v>
      </c>
      <c r="E695">
        <v>526.36999500000002</v>
      </c>
      <c r="F695">
        <v>502.70001200000002</v>
      </c>
      <c r="G695">
        <v>503.05999800000001</v>
      </c>
      <c r="H695">
        <v>503.05999800000001</v>
      </c>
      <c r="I695">
        <f t="shared" si="42"/>
        <v>-13.36999499999996</v>
      </c>
      <c r="J695">
        <v>6071200</v>
      </c>
      <c r="K695">
        <v>-3.3663366336633603E-2</v>
      </c>
      <c r="L695">
        <v>-17</v>
      </c>
      <c r="M695">
        <f t="shared" si="43"/>
        <v>-2.5889268983647046E-2</v>
      </c>
      <c r="N695">
        <v>505</v>
      </c>
    </row>
    <row r="696" spans="1:14" x14ac:dyDescent="0.25">
      <c r="A696" s="1">
        <v>44109</v>
      </c>
      <c r="B696" s="1">
        <f t="shared" si="40"/>
        <v>2020</v>
      </c>
      <c r="C696" s="1" t="str">
        <f t="shared" si="41"/>
        <v>Oct</v>
      </c>
      <c r="D696">
        <v>506.79998799999998</v>
      </c>
      <c r="E696">
        <v>520.98999000000003</v>
      </c>
      <c r="F696">
        <v>501.70001200000002</v>
      </c>
      <c r="G696">
        <v>520.65002400000003</v>
      </c>
      <c r="H696">
        <v>520.65002400000003</v>
      </c>
      <c r="I696">
        <f t="shared" si="42"/>
        <v>13.850036000000046</v>
      </c>
      <c r="J696">
        <v>4088100</v>
      </c>
      <c r="K696">
        <v>-2.0449897750510998E-3</v>
      </c>
      <c r="L696">
        <v>-1</v>
      </c>
      <c r="M696">
        <f t="shared" si="43"/>
        <v>2.732840632979661E-2</v>
      </c>
      <c r="N696">
        <v>489</v>
      </c>
    </row>
    <row r="697" spans="1:14" x14ac:dyDescent="0.25">
      <c r="A697" s="1">
        <v>44110</v>
      </c>
      <c r="B697" s="1">
        <f t="shared" si="40"/>
        <v>2020</v>
      </c>
      <c r="C697" s="1" t="str">
        <f t="shared" si="41"/>
        <v>Oct</v>
      </c>
      <c r="D697">
        <v>518.71997099999999</v>
      </c>
      <c r="E697">
        <v>521.82000700000003</v>
      </c>
      <c r="F697">
        <v>504.16000400000001</v>
      </c>
      <c r="G697">
        <v>505.86999500000002</v>
      </c>
      <c r="H697">
        <v>505.86999500000002</v>
      </c>
      <c r="I697">
        <f t="shared" si="42"/>
        <v>-12.84997599999997</v>
      </c>
      <c r="J697">
        <v>4199000</v>
      </c>
      <c r="K697">
        <v>-8.0708661417322802E-2</v>
      </c>
      <c r="L697">
        <v>-41</v>
      </c>
      <c r="M697">
        <f t="shared" si="43"/>
        <v>-2.4772472082051321E-2</v>
      </c>
      <c r="N697">
        <v>508</v>
      </c>
    </row>
    <row r="698" spans="1:14" x14ac:dyDescent="0.25">
      <c r="A698" s="1">
        <v>44111</v>
      </c>
      <c r="B698" s="1">
        <f t="shared" si="40"/>
        <v>2020</v>
      </c>
      <c r="C698" s="1" t="str">
        <f t="shared" si="41"/>
        <v>Oct</v>
      </c>
      <c r="D698">
        <v>518</v>
      </c>
      <c r="E698">
        <v>536.48999000000003</v>
      </c>
      <c r="F698">
        <v>515.82000700000003</v>
      </c>
      <c r="G698">
        <v>534.65997300000004</v>
      </c>
      <c r="H698">
        <v>534.65997300000004</v>
      </c>
      <c r="I698">
        <f t="shared" si="42"/>
        <v>16.659973000000036</v>
      </c>
      <c r="J698">
        <v>7988700</v>
      </c>
      <c r="K698">
        <v>-4.0524433849821198E-2</v>
      </c>
      <c r="L698">
        <v>-34</v>
      </c>
      <c r="M698">
        <f t="shared" si="43"/>
        <v>3.2162110038610109E-2</v>
      </c>
      <c r="N698">
        <v>839</v>
      </c>
    </row>
    <row r="699" spans="1:14" x14ac:dyDescent="0.25">
      <c r="A699" s="1">
        <v>44112</v>
      </c>
      <c r="B699" s="1">
        <f t="shared" si="40"/>
        <v>2020</v>
      </c>
      <c r="C699" s="1" t="str">
        <f t="shared" si="41"/>
        <v>Oct</v>
      </c>
      <c r="D699">
        <v>533.47997999999995</v>
      </c>
      <c r="E699">
        <v>535</v>
      </c>
      <c r="F699">
        <v>524.15002400000003</v>
      </c>
      <c r="G699">
        <v>531.78997800000002</v>
      </c>
      <c r="H699">
        <v>531.78997800000002</v>
      </c>
      <c r="I699">
        <f t="shared" si="42"/>
        <v>-1.6900019999999358</v>
      </c>
      <c r="J699">
        <v>5386500</v>
      </c>
      <c r="K699">
        <v>-8.1272084805653705E-2</v>
      </c>
      <c r="L699">
        <v>-46</v>
      </c>
      <c r="M699">
        <f t="shared" si="43"/>
        <v>-3.1678827010526919E-3</v>
      </c>
      <c r="N699">
        <v>566</v>
      </c>
    </row>
    <row r="700" spans="1:14" x14ac:dyDescent="0.25">
      <c r="A700" s="1">
        <v>44113</v>
      </c>
      <c r="B700" s="1">
        <f t="shared" si="40"/>
        <v>2020</v>
      </c>
      <c r="C700" s="1" t="str">
        <f t="shared" si="41"/>
        <v>Oct</v>
      </c>
      <c r="D700">
        <v>537.830017</v>
      </c>
      <c r="E700">
        <v>544.28002900000001</v>
      </c>
      <c r="F700">
        <v>535</v>
      </c>
      <c r="G700">
        <v>539.44000200000005</v>
      </c>
      <c r="H700">
        <v>539.44000200000005</v>
      </c>
      <c r="I700">
        <f t="shared" si="42"/>
        <v>1.6099850000000515</v>
      </c>
      <c r="J700">
        <v>4781300</v>
      </c>
      <c r="K700">
        <v>-2.4429967426710001E-2</v>
      </c>
      <c r="L700">
        <v>-15</v>
      </c>
      <c r="M700">
        <f t="shared" si="43"/>
        <v>2.9934829762394083E-3</v>
      </c>
      <c r="N700">
        <v>614</v>
      </c>
    </row>
    <row r="701" spans="1:14" x14ac:dyDescent="0.25">
      <c r="A701" s="1">
        <v>44116</v>
      </c>
      <c r="B701" s="1">
        <f t="shared" si="40"/>
        <v>2020</v>
      </c>
      <c r="C701" s="1" t="str">
        <f t="shared" si="41"/>
        <v>Oct</v>
      </c>
      <c r="D701">
        <v>548.80999799999995</v>
      </c>
      <c r="E701">
        <v>551.80999799999995</v>
      </c>
      <c r="F701">
        <v>538.23999000000003</v>
      </c>
      <c r="G701">
        <v>539.80999799999995</v>
      </c>
      <c r="H701">
        <v>539.80999799999995</v>
      </c>
      <c r="I701">
        <f t="shared" si="42"/>
        <v>-9</v>
      </c>
      <c r="J701">
        <v>5391100</v>
      </c>
      <c r="K701">
        <v>-6.7484662576687102E-2</v>
      </c>
      <c r="L701">
        <v>-44</v>
      </c>
      <c r="M701">
        <f t="shared" si="43"/>
        <v>-1.6399118151633967E-2</v>
      </c>
      <c r="N701">
        <v>652</v>
      </c>
    </row>
    <row r="702" spans="1:14" x14ac:dyDescent="0.25">
      <c r="A702" s="1">
        <v>44117</v>
      </c>
      <c r="B702" s="1">
        <f t="shared" si="40"/>
        <v>2020</v>
      </c>
      <c r="C702" s="1" t="str">
        <f t="shared" si="41"/>
        <v>Oct</v>
      </c>
      <c r="D702">
        <v>540.55999799999995</v>
      </c>
      <c r="E702">
        <v>557.65002400000003</v>
      </c>
      <c r="F702">
        <v>537.20001200000002</v>
      </c>
      <c r="G702">
        <v>554.09002699999996</v>
      </c>
      <c r="H702">
        <v>554.09002699999996</v>
      </c>
      <c r="I702">
        <f t="shared" si="42"/>
        <v>13.530029000000013</v>
      </c>
      <c r="J702">
        <v>5602500</v>
      </c>
      <c r="K702">
        <v>-6.3157894736842093E-2</v>
      </c>
      <c r="L702">
        <v>-42</v>
      </c>
      <c r="M702">
        <f t="shared" si="43"/>
        <v>2.5029652675113437E-2</v>
      </c>
      <c r="N702">
        <v>665</v>
      </c>
    </row>
    <row r="703" spans="1:14" x14ac:dyDescent="0.25">
      <c r="A703" s="1">
        <v>44118</v>
      </c>
      <c r="B703" s="1">
        <f t="shared" si="40"/>
        <v>2020</v>
      </c>
      <c r="C703" s="1" t="str">
        <f t="shared" si="41"/>
        <v>Oct</v>
      </c>
      <c r="D703">
        <v>562.60998500000005</v>
      </c>
      <c r="E703">
        <v>572.48999000000003</v>
      </c>
      <c r="F703">
        <v>541</v>
      </c>
      <c r="G703">
        <v>541.45001200000002</v>
      </c>
      <c r="H703">
        <v>541.45001200000002</v>
      </c>
      <c r="I703">
        <f t="shared" si="42"/>
        <v>-21.159973000000036</v>
      </c>
      <c r="J703">
        <v>9499000</v>
      </c>
      <c r="K703">
        <v>-4.5977011494252797E-2</v>
      </c>
      <c r="L703">
        <v>-40</v>
      </c>
      <c r="M703">
        <f t="shared" si="43"/>
        <v>-3.76103758627747E-2</v>
      </c>
      <c r="N703">
        <v>870</v>
      </c>
    </row>
    <row r="704" spans="1:14" x14ac:dyDescent="0.25">
      <c r="A704" s="1">
        <v>44119</v>
      </c>
      <c r="B704" s="1">
        <f t="shared" si="40"/>
        <v>2020</v>
      </c>
      <c r="C704" s="1" t="str">
        <f t="shared" si="41"/>
        <v>Oct</v>
      </c>
      <c r="D704">
        <v>545.52002000000005</v>
      </c>
      <c r="E704">
        <v>551.21997099999999</v>
      </c>
      <c r="F704">
        <v>535.09997599999997</v>
      </c>
      <c r="G704">
        <v>541.94000200000005</v>
      </c>
      <c r="H704">
        <v>541.94000200000005</v>
      </c>
      <c r="I704">
        <f t="shared" si="42"/>
        <v>-3.5800179999999955</v>
      </c>
      <c r="J704">
        <v>5113100</v>
      </c>
      <c r="K704">
        <v>-5.70613409415121E-2</v>
      </c>
      <c r="L704">
        <v>-40</v>
      </c>
      <c r="M704">
        <f t="shared" si="43"/>
        <v>-6.56257858327545E-3</v>
      </c>
      <c r="N704">
        <v>701</v>
      </c>
    </row>
    <row r="705" spans="1:14" x14ac:dyDescent="0.25">
      <c r="A705" s="1">
        <v>44120</v>
      </c>
      <c r="B705" s="1">
        <f t="shared" si="40"/>
        <v>2020</v>
      </c>
      <c r="C705" s="1" t="str">
        <f t="shared" si="41"/>
        <v>Oct</v>
      </c>
      <c r="D705">
        <v>549.5</v>
      </c>
      <c r="E705">
        <v>554.330017</v>
      </c>
      <c r="F705">
        <v>530.03002900000001</v>
      </c>
      <c r="G705">
        <v>530.78997800000002</v>
      </c>
      <c r="H705">
        <v>530.78997800000002</v>
      </c>
      <c r="I705">
        <f t="shared" si="42"/>
        <v>-18.710021999999981</v>
      </c>
      <c r="J705">
        <v>6347400</v>
      </c>
      <c r="K705">
        <v>-8.1521739130434E-3</v>
      </c>
      <c r="L705">
        <v>-6</v>
      </c>
      <c r="M705">
        <f t="shared" si="43"/>
        <v>-3.4049175614194689E-2</v>
      </c>
      <c r="N705">
        <v>736</v>
      </c>
    </row>
    <row r="706" spans="1:14" x14ac:dyDescent="0.25">
      <c r="A706" s="1">
        <v>44123</v>
      </c>
      <c r="B706" s="1">
        <f t="shared" ref="B706:B769" si="44">YEAR(A706)</f>
        <v>2020</v>
      </c>
      <c r="C706" s="1" t="str">
        <f t="shared" ref="C706:C769" si="45">TEXT(A706,"mmm")</f>
        <v>Oct</v>
      </c>
      <c r="D706">
        <v>537.07000700000003</v>
      </c>
      <c r="E706">
        <v>541.79998799999998</v>
      </c>
      <c r="F706">
        <v>525.38000499999998</v>
      </c>
      <c r="G706">
        <v>530.71997099999999</v>
      </c>
      <c r="H706">
        <v>530.71997099999999</v>
      </c>
      <c r="I706">
        <f t="shared" ref="I706:I769" si="46">G706-D706</f>
        <v>-6.3500360000000455</v>
      </c>
      <c r="J706">
        <v>7567500</v>
      </c>
      <c r="K706">
        <v>-1.51098901098901E-2</v>
      </c>
      <c r="L706">
        <v>-11</v>
      </c>
      <c r="M706">
        <f t="shared" ref="M706:M769" si="47">(G706-D706)/D706</f>
        <v>-1.18234790944117E-2</v>
      </c>
      <c r="N706">
        <v>728</v>
      </c>
    </row>
    <row r="707" spans="1:14" x14ac:dyDescent="0.25">
      <c r="A707" s="1">
        <v>44124</v>
      </c>
      <c r="B707" s="1">
        <f t="shared" si="44"/>
        <v>2020</v>
      </c>
      <c r="C707" s="1" t="str">
        <f t="shared" si="45"/>
        <v>Oct</v>
      </c>
      <c r="D707">
        <v>528.14001499999995</v>
      </c>
      <c r="E707">
        <v>533.78002900000001</v>
      </c>
      <c r="F707">
        <v>522.26000999999997</v>
      </c>
      <c r="G707">
        <v>525.419983</v>
      </c>
      <c r="H707">
        <v>525.419983</v>
      </c>
      <c r="I707">
        <f t="shared" si="46"/>
        <v>-2.7200319999999465</v>
      </c>
      <c r="J707">
        <v>10047200</v>
      </c>
      <c r="K707">
        <v>-0.11333333333333299</v>
      </c>
      <c r="L707">
        <v>-221</v>
      </c>
      <c r="M707">
        <f t="shared" si="47"/>
        <v>-5.1502100252713229E-3</v>
      </c>
      <c r="N707">
        <v>1950</v>
      </c>
    </row>
    <row r="708" spans="1:14" x14ac:dyDescent="0.25">
      <c r="A708" s="1">
        <v>44125</v>
      </c>
      <c r="B708" s="1">
        <f t="shared" si="44"/>
        <v>2020</v>
      </c>
      <c r="C708" s="1" t="str">
        <f t="shared" si="45"/>
        <v>Oct</v>
      </c>
      <c r="D708">
        <v>501.02999899999998</v>
      </c>
      <c r="E708">
        <v>506.85000600000001</v>
      </c>
      <c r="F708">
        <v>488.25</v>
      </c>
      <c r="G708">
        <v>489.04998799999998</v>
      </c>
      <c r="H708">
        <v>489.04998799999998</v>
      </c>
      <c r="I708">
        <f t="shared" si="46"/>
        <v>-11.98001099999999</v>
      </c>
      <c r="J708">
        <v>17405700</v>
      </c>
      <c r="K708">
        <v>-8.2134292565947203E-2</v>
      </c>
      <c r="L708">
        <v>-137</v>
      </c>
      <c r="M708">
        <f t="shared" si="47"/>
        <v>-2.3910765870129049E-2</v>
      </c>
      <c r="N708">
        <v>1668</v>
      </c>
    </row>
    <row r="709" spans="1:14" x14ac:dyDescent="0.25">
      <c r="A709" s="1">
        <v>44126</v>
      </c>
      <c r="B709" s="1">
        <f t="shared" si="44"/>
        <v>2020</v>
      </c>
      <c r="C709" s="1" t="str">
        <f t="shared" si="45"/>
        <v>Oct</v>
      </c>
      <c r="D709">
        <v>494.69000199999999</v>
      </c>
      <c r="E709">
        <v>495.14001500000001</v>
      </c>
      <c r="F709">
        <v>482</v>
      </c>
      <c r="G709">
        <v>485.23001099999999</v>
      </c>
      <c r="H709">
        <v>485.23001099999999</v>
      </c>
      <c r="I709">
        <f t="shared" si="46"/>
        <v>-9.4599910000000023</v>
      </c>
      <c r="J709">
        <v>6997900</v>
      </c>
      <c r="K709">
        <v>-5.74443141852286E-2</v>
      </c>
      <c r="L709">
        <v>-49</v>
      </c>
      <c r="M709">
        <f t="shared" si="47"/>
        <v>-1.912306891538916E-2</v>
      </c>
      <c r="N709">
        <v>853</v>
      </c>
    </row>
    <row r="710" spans="1:14" x14ac:dyDescent="0.25">
      <c r="A710" s="1">
        <v>44127</v>
      </c>
      <c r="B710" s="1">
        <f t="shared" si="44"/>
        <v>2020</v>
      </c>
      <c r="C710" s="1" t="str">
        <f t="shared" si="45"/>
        <v>Oct</v>
      </c>
      <c r="D710">
        <v>488.10998499999999</v>
      </c>
      <c r="E710">
        <v>490.05999800000001</v>
      </c>
      <c r="F710">
        <v>481.35000600000001</v>
      </c>
      <c r="G710">
        <v>488.27999899999998</v>
      </c>
      <c r="H710">
        <v>488.27999899999998</v>
      </c>
      <c r="I710">
        <f t="shared" si="46"/>
        <v>0.17001399999998057</v>
      </c>
      <c r="J710">
        <v>4927900</v>
      </c>
      <c r="K710">
        <v>-5.0531914893616997E-2</v>
      </c>
      <c r="L710">
        <v>-38</v>
      </c>
      <c r="M710">
        <f t="shared" si="47"/>
        <v>3.4831084227867324E-4</v>
      </c>
      <c r="N710">
        <v>752</v>
      </c>
    </row>
    <row r="711" spans="1:14" x14ac:dyDescent="0.25">
      <c r="A711" s="1">
        <v>44130</v>
      </c>
      <c r="B711" s="1">
        <f t="shared" si="44"/>
        <v>2020</v>
      </c>
      <c r="C711" s="1" t="str">
        <f t="shared" si="45"/>
        <v>Oct</v>
      </c>
      <c r="D711">
        <v>487.02999899999998</v>
      </c>
      <c r="E711">
        <v>496.82000699999998</v>
      </c>
      <c r="F711">
        <v>478.89999399999999</v>
      </c>
      <c r="G711">
        <v>488.23998999999998</v>
      </c>
      <c r="H711">
        <v>488.23998999999998</v>
      </c>
      <c r="I711">
        <f t="shared" si="46"/>
        <v>1.2099910000000023</v>
      </c>
      <c r="J711">
        <v>6186100</v>
      </c>
      <c r="K711">
        <v>-2.06185567010309E-2</v>
      </c>
      <c r="L711">
        <v>-8</v>
      </c>
      <c r="M711">
        <f t="shared" si="47"/>
        <v>2.4844280690808174E-3</v>
      </c>
      <c r="N711">
        <v>388</v>
      </c>
    </row>
    <row r="712" spans="1:14" x14ac:dyDescent="0.25">
      <c r="A712" s="1">
        <v>44131</v>
      </c>
      <c r="B712" s="1">
        <f t="shared" si="44"/>
        <v>2020</v>
      </c>
      <c r="C712" s="1" t="str">
        <f t="shared" si="45"/>
        <v>Oct</v>
      </c>
      <c r="D712">
        <v>490.01001000000002</v>
      </c>
      <c r="E712">
        <v>490.48998999999998</v>
      </c>
      <c r="F712">
        <v>482.92999300000002</v>
      </c>
      <c r="G712">
        <v>488.92999300000002</v>
      </c>
      <c r="H712">
        <v>488.92999300000002</v>
      </c>
      <c r="I712">
        <f t="shared" si="46"/>
        <v>-1.080016999999998</v>
      </c>
      <c r="J712">
        <v>3627200</v>
      </c>
      <c r="K712">
        <v>-5.8981233243967798E-2</v>
      </c>
      <c r="L712">
        <v>-22</v>
      </c>
      <c r="M712">
        <f t="shared" si="47"/>
        <v>-2.2040713005026121E-3</v>
      </c>
      <c r="N712">
        <v>373</v>
      </c>
    </row>
    <row r="713" spans="1:14" x14ac:dyDescent="0.25">
      <c r="A713" s="1">
        <v>44132</v>
      </c>
      <c r="B713" s="1">
        <f t="shared" si="44"/>
        <v>2020</v>
      </c>
      <c r="C713" s="1" t="str">
        <f t="shared" si="45"/>
        <v>Oct</v>
      </c>
      <c r="D713">
        <v>486.35998499999999</v>
      </c>
      <c r="E713">
        <v>494</v>
      </c>
      <c r="F713">
        <v>483.27999899999998</v>
      </c>
      <c r="G713">
        <v>486.23998999999998</v>
      </c>
      <c r="H713">
        <v>486.23998999999998</v>
      </c>
      <c r="I713">
        <f t="shared" si="46"/>
        <v>-0.11999500000001717</v>
      </c>
      <c r="J713">
        <v>5992700</v>
      </c>
      <c r="K713">
        <v>-6.9620253164556903E-2</v>
      </c>
      <c r="L713">
        <v>-33</v>
      </c>
      <c r="M713">
        <f t="shared" si="47"/>
        <v>-2.4672054383753872E-4</v>
      </c>
      <c r="N713">
        <v>474</v>
      </c>
    </row>
    <row r="714" spans="1:14" x14ac:dyDescent="0.25">
      <c r="A714" s="1">
        <v>44133</v>
      </c>
      <c r="B714" s="1">
        <f t="shared" si="44"/>
        <v>2020</v>
      </c>
      <c r="C714" s="1" t="str">
        <f t="shared" si="45"/>
        <v>Oct</v>
      </c>
      <c r="D714">
        <v>488.5</v>
      </c>
      <c r="E714">
        <v>513.90002400000003</v>
      </c>
      <c r="F714">
        <v>479.33999599999999</v>
      </c>
      <c r="G714">
        <v>504.209991</v>
      </c>
      <c r="H714">
        <v>504.209991</v>
      </c>
      <c r="I714">
        <f t="shared" si="46"/>
        <v>15.709991000000002</v>
      </c>
      <c r="J714">
        <v>11120700</v>
      </c>
      <c r="K714">
        <v>-3.2943676939426098E-2</v>
      </c>
      <c r="L714">
        <v>-31</v>
      </c>
      <c r="M714">
        <f t="shared" si="47"/>
        <v>3.2159654042988747E-2</v>
      </c>
      <c r="N714">
        <v>941</v>
      </c>
    </row>
    <row r="715" spans="1:14" x14ac:dyDescent="0.25">
      <c r="A715" s="1">
        <v>44134</v>
      </c>
      <c r="B715" s="1">
        <f t="shared" si="44"/>
        <v>2020</v>
      </c>
      <c r="C715" s="1" t="str">
        <f t="shared" si="45"/>
        <v>Oct</v>
      </c>
      <c r="D715">
        <v>502.01001000000002</v>
      </c>
      <c r="E715">
        <v>505.88000499999998</v>
      </c>
      <c r="F715">
        <v>472.209991</v>
      </c>
      <c r="G715">
        <v>475.73998999999998</v>
      </c>
      <c r="H715">
        <v>475.73998999999998</v>
      </c>
      <c r="I715">
        <f t="shared" si="46"/>
        <v>-26.270020000000045</v>
      </c>
      <c r="J715">
        <v>7807900</v>
      </c>
      <c r="K715">
        <v>-3.42960288808664E-2</v>
      </c>
      <c r="L715">
        <v>-19</v>
      </c>
      <c r="M715">
        <f t="shared" si="47"/>
        <v>-5.2329673665272219E-2</v>
      </c>
      <c r="N715">
        <v>554</v>
      </c>
    </row>
    <row r="716" spans="1:14" x14ac:dyDescent="0.25">
      <c r="A716" s="1">
        <v>44137</v>
      </c>
      <c r="B716" s="1">
        <f t="shared" si="44"/>
        <v>2020</v>
      </c>
      <c r="C716" s="1" t="str">
        <f t="shared" si="45"/>
        <v>Nov</v>
      </c>
      <c r="D716">
        <v>478.86999500000002</v>
      </c>
      <c r="E716">
        <v>486.29998799999998</v>
      </c>
      <c r="F716">
        <v>475</v>
      </c>
      <c r="G716">
        <v>484.11999500000002</v>
      </c>
      <c r="H716">
        <v>484.11999500000002</v>
      </c>
      <c r="I716">
        <f t="shared" si="46"/>
        <v>5.25</v>
      </c>
      <c r="J716">
        <v>4408200</v>
      </c>
      <c r="K716">
        <v>-0.114583333333333</v>
      </c>
      <c r="L716">
        <v>-44</v>
      </c>
      <c r="M716">
        <f t="shared" si="47"/>
        <v>1.096330957215225E-2</v>
      </c>
      <c r="N716">
        <v>384</v>
      </c>
    </row>
    <row r="717" spans="1:14" x14ac:dyDescent="0.25">
      <c r="A717" s="1">
        <v>44138</v>
      </c>
      <c r="B717" s="1">
        <f t="shared" si="44"/>
        <v>2020</v>
      </c>
      <c r="C717" s="1" t="str">
        <f t="shared" si="45"/>
        <v>Nov</v>
      </c>
      <c r="D717">
        <v>484.92999300000002</v>
      </c>
      <c r="E717">
        <v>495.30999800000001</v>
      </c>
      <c r="F717">
        <v>478.76001000000002</v>
      </c>
      <c r="G717">
        <v>487.22000100000002</v>
      </c>
      <c r="H717">
        <v>487.22000100000002</v>
      </c>
      <c r="I717">
        <f t="shared" si="46"/>
        <v>2.2900080000000003</v>
      </c>
      <c r="J717">
        <v>3690200</v>
      </c>
      <c r="K717">
        <v>-8.1911262798634796E-2</v>
      </c>
      <c r="L717">
        <v>-24</v>
      </c>
      <c r="M717">
        <f t="shared" si="47"/>
        <v>4.7223476234846962E-3</v>
      </c>
      <c r="N717">
        <v>293</v>
      </c>
    </row>
    <row r="718" spans="1:14" x14ac:dyDescent="0.25">
      <c r="A718" s="1">
        <v>44139</v>
      </c>
      <c r="B718" s="1">
        <f t="shared" si="44"/>
        <v>2020</v>
      </c>
      <c r="C718" s="1" t="str">
        <f t="shared" si="45"/>
        <v>Nov</v>
      </c>
      <c r="D718">
        <v>495.35998499999999</v>
      </c>
      <c r="E718">
        <v>507.73001099999999</v>
      </c>
      <c r="F718">
        <v>493.98001099999999</v>
      </c>
      <c r="G718">
        <v>496.95001200000002</v>
      </c>
      <c r="H718">
        <v>496.95001200000002</v>
      </c>
      <c r="I718">
        <f t="shared" si="46"/>
        <v>1.5900270000000205</v>
      </c>
      <c r="J718">
        <v>5137300</v>
      </c>
      <c r="K718">
        <v>-2.4922118380062301E-2</v>
      </c>
      <c r="L718">
        <v>-8</v>
      </c>
      <c r="M718">
        <f t="shared" si="47"/>
        <v>3.2098414247166544E-3</v>
      </c>
      <c r="N718">
        <v>321</v>
      </c>
    </row>
    <row r="719" spans="1:14" x14ac:dyDescent="0.25">
      <c r="A719" s="1">
        <v>44140</v>
      </c>
      <c r="B719" s="1">
        <f t="shared" si="44"/>
        <v>2020</v>
      </c>
      <c r="C719" s="1" t="str">
        <f t="shared" si="45"/>
        <v>Nov</v>
      </c>
      <c r="D719">
        <v>506.55999800000001</v>
      </c>
      <c r="E719">
        <v>518.72997999999995</v>
      </c>
      <c r="F719">
        <v>503.45001200000002</v>
      </c>
      <c r="G719">
        <v>513.76000999999997</v>
      </c>
      <c r="H719">
        <v>513.76000999999997</v>
      </c>
      <c r="I719">
        <f t="shared" si="46"/>
        <v>7.2000119999999583</v>
      </c>
      <c r="J719">
        <v>5372800</v>
      </c>
      <c r="K719">
        <v>-1.6E-2</v>
      </c>
      <c r="L719">
        <v>-6</v>
      </c>
      <c r="M719">
        <f t="shared" si="47"/>
        <v>1.4213542380817757E-2</v>
      </c>
      <c r="N719">
        <v>375</v>
      </c>
    </row>
    <row r="720" spans="1:14" x14ac:dyDescent="0.25">
      <c r="A720" s="1">
        <v>44141</v>
      </c>
      <c r="B720" s="1">
        <f t="shared" si="44"/>
        <v>2020</v>
      </c>
      <c r="C720" s="1" t="str">
        <f t="shared" si="45"/>
        <v>Nov</v>
      </c>
      <c r="D720">
        <v>515</v>
      </c>
      <c r="E720">
        <v>515.21002199999998</v>
      </c>
      <c r="F720">
        <v>502.51001000000002</v>
      </c>
      <c r="G720">
        <v>514.72997999999995</v>
      </c>
      <c r="H720">
        <v>514.72997999999995</v>
      </c>
      <c r="I720">
        <f t="shared" si="46"/>
        <v>-0.270020000000045</v>
      </c>
      <c r="J720">
        <v>4236300</v>
      </c>
      <c r="K720">
        <v>-3.8869257950529999E-2</v>
      </c>
      <c r="L720">
        <v>-11</v>
      </c>
      <c r="M720">
        <f t="shared" si="47"/>
        <v>-5.2431067961173782E-4</v>
      </c>
      <c r="N720">
        <v>283</v>
      </c>
    </row>
    <row r="721" spans="1:14" x14ac:dyDescent="0.25">
      <c r="A721" s="1">
        <v>44144</v>
      </c>
      <c r="B721" s="1">
        <f t="shared" si="44"/>
        <v>2020</v>
      </c>
      <c r="C721" s="1" t="str">
        <f t="shared" si="45"/>
        <v>Nov</v>
      </c>
      <c r="D721">
        <v>485.540009</v>
      </c>
      <c r="E721">
        <v>495.85000600000001</v>
      </c>
      <c r="F721">
        <v>467.26001000000002</v>
      </c>
      <c r="G721">
        <v>470.5</v>
      </c>
      <c r="H721">
        <v>470.5</v>
      </c>
      <c r="I721">
        <f t="shared" si="46"/>
        <v>-15.040008999999998</v>
      </c>
      <c r="J721">
        <v>10419700</v>
      </c>
      <c r="K721">
        <v>-9.2764378478664103E-2</v>
      </c>
      <c r="L721">
        <v>-50</v>
      </c>
      <c r="M721">
        <f t="shared" si="47"/>
        <v>-3.0975838697568581E-2</v>
      </c>
      <c r="N721">
        <v>539</v>
      </c>
    </row>
    <row r="722" spans="1:14" x14ac:dyDescent="0.25">
      <c r="A722" s="1">
        <v>44145</v>
      </c>
      <c r="B722" s="1">
        <f t="shared" si="44"/>
        <v>2020</v>
      </c>
      <c r="C722" s="1" t="str">
        <f t="shared" si="45"/>
        <v>Nov</v>
      </c>
      <c r="D722">
        <v>470.95001200000002</v>
      </c>
      <c r="E722">
        <v>484.60000600000001</v>
      </c>
      <c r="F722">
        <v>463.41000400000001</v>
      </c>
      <c r="G722">
        <v>480.23998999999998</v>
      </c>
      <c r="H722">
        <v>480.23998999999998</v>
      </c>
      <c r="I722">
        <f t="shared" si="46"/>
        <v>9.2899779999999623</v>
      </c>
      <c r="J722">
        <v>8306100</v>
      </c>
      <c r="K722">
        <v>-7.6446280991735505E-2</v>
      </c>
      <c r="L722">
        <v>-37</v>
      </c>
      <c r="M722">
        <f t="shared" si="47"/>
        <v>1.9726038355000534E-2</v>
      </c>
      <c r="N722">
        <v>484</v>
      </c>
    </row>
    <row r="723" spans="1:14" x14ac:dyDescent="0.25">
      <c r="A723" s="1">
        <v>44146</v>
      </c>
      <c r="B723" s="1">
        <f t="shared" si="44"/>
        <v>2020</v>
      </c>
      <c r="C723" s="1" t="str">
        <f t="shared" si="45"/>
        <v>Nov</v>
      </c>
      <c r="D723">
        <v>483</v>
      </c>
      <c r="E723">
        <v>491.67999300000002</v>
      </c>
      <c r="F723">
        <v>478.26001000000002</v>
      </c>
      <c r="G723">
        <v>490.76001000000002</v>
      </c>
      <c r="H723">
        <v>490.76001000000002</v>
      </c>
      <c r="I723">
        <f t="shared" si="46"/>
        <v>7.7600100000000225</v>
      </c>
      <c r="J723">
        <v>5460500</v>
      </c>
      <c r="K723">
        <v>-6.4039408866994996E-2</v>
      </c>
      <c r="L723">
        <v>-26</v>
      </c>
      <c r="M723">
        <f t="shared" si="47"/>
        <v>1.6066273291925514E-2</v>
      </c>
      <c r="N723">
        <v>406</v>
      </c>
    </row>
    <row r="724" spans="1:14" x14ac:dyDescent="0.25">
      <c r="A724" s="1">
        <v>44147</v>
      </c>
      <c r="B724" s="1">
        <f t="shared" si="44"/>
        <v>2020</v>
      </c>
      <c r="C724" s="1" t="str">
        <f t="shared" si="45"/>
        <v>Nov</v>
      </c>
      <c r="D724">
        <v>491</v>
      </c>
      <c r="E724">
        <v>496.51998900000001</v>
      </c>
      <c r="F724">
        <v>480.42999300000002</v>
      </c>
      <c r="G724">
        <v>486.76998900000001</v>
      </c>
      <c r="H724">
        <v>486.76998900000001</v>
      </c>
      <c r="I724">
        <f t="shared" si="46"/>
        <v>-4.2300109999999904</v>
      </c>
      <c r="J724">
        <v>5063700</v>
      </c>
      <c r="K724">
        <v>-6.7846607669616504E-2</v>
      </c>
      <c r="L724">
        <v>-23</v>
      </c>
      <c r="M724">
        <f t="shared" si="47"/>
        <v>-8.6150936863543595E-3</v>
      </c>
      <c r="N724">
        <v>339</v>
      </c>
    </row>
    <row r="725" spans="1:14" x14ac:dyDescent="0.25">
      <c r="A725" s="1">
        <v>44148</v>
      </c>
      <c r="B725" s="1">
        <f t="shared" si="44"/>
        <v>2020</v>
      </c>
      <c r="C725" s="1" t="str">
        <f t="shared" si="45"/>
        <v>Nov</v>
      </c>
      <c r="D725">
        <v>486.76998900000001</v>
      </c>
      <c r="E725">
        <v>488.94000199999999</v>
      </c>
      <c r="F725">
        <v>477.79998799999998</v>
      </c>
      <c r="G725">
        <v>482.83999599999999</v>
      </c>
      <c r="H725">
        <v>482.83999599999999</v>
      </c>
      <c r="I725">
        <f t="shared" si="46"/>
        <v>-3.9299930000000245</v>
      </c>
      <c r="J725">
        <v>3002700</v>
      </c>
      <c r="K725">
        <v>-9.1194968553459099E-2</v>
      </c>
      <c r="L725">
        <v>-29</v>
      </c>
      <c r="M725">
        <f t="shared" si="47"/>
        <v>-8.0736140041698917E-3</v>
      </c>
      <c r="N725">
        <v>318</v>
      </c>
    </row>
    <row r="726" spans="1:14" x14ac:dyDescent="0.25">
      <c r="A726" s="1">
        <v>44151</v>
      </c>
      <c r="B726" s="1">
        <f t="shared" si="44"/>
        <v>2020</v>
      </c>
      <c r="C726" s="1" t="str">
        <f t="shared" si="45"/>
        <v>Nov</v>
      </c>
      <c r="D726">
        <v>480</v>
      </c>
      <c r="E726">
        <v>485.57998700000002</v>
      </c>
      <c r="F726">
        <v>477.29998799999998</v>
      </c>
      <c r="G726">
        <v>479.10000600000001</v>
      </c>
      <c r="H726">
        <v>479.10000600000001</v>
      </c>
      <c r="I726">
        <f t="shared" si="46"/>
        <v>-0.89999399999999241</v>
      </c>
      <c r="J726">
        <v>3953600</v>
      </c>
      <c r="K726">
        <v>-7.7738515901059999E-2</v>
      </c>
      <c r="L726">
        <v>-22</v>
      </c>
      <c r="M726">
        <f t="shared" si="47"/>
        <v>-1.8749874999999842E-3</v>
      </c>
      <c r="N726">
        <v>283</v>
      </c>
    </row>
    <row r="727" spans="1:14" x14ac:dyDescent="0.25">
      <c r="A727" s="1">
        <v>44152</v>
      </c>
      <c r="B727" s="1">
        <f t="shared" si="44"/>
        <v>2020</v>
      </c>
      <c r="C727" s="1" t="str">
        <f t="shared" si="45"/>
        <v>Nov</v>
      </c>
      <c r="D727">
        <v>480.11999500000002</v>
      </c>
      <c r="E727">
        <v>487.51001000000002</v>
      </c>
      <c r="F727">
        <v>478.85000600000001</v>
      </c>
      <c r="G727">
        <v>480.63000499999998</v>
      </c>
      <c r="H727">
        <v>480.63000499999998</v>
      </c>
      <c r="I727">
        <f t="shared" si="46"/>
        <v>0.51000999999996566</v>
      </c>
      <c r="J727">
        <v>3698100</v>
      </c>
      <c r="K727">
        <v>-5.0359712230215799E-2</v>
      </c>
      <c r="L727">
        <v>-14</v>
      </c>
      <c r="M727">
        <f t="shared" si="47"/>
        <v>1.0622552805782763E-3</v>
      </c>
      <c r="N727">
        <v>278</v>
      </c>
    </row>
    <row r="728" spans="1:14" x14ac:dyDescent="0.25">
      <c r="A728" s="1">
        <v>44153</v>
      </c>
      <c r="B728" s="1">
        <f t="shared" si="44"/>
        <v>2020</v>
      </c>
      <c r="C728" s="1" t="str">
        <f t="shared" si="45"/>
        <v>Nov</v>
      </c>
      <c r="D728">
        <v>481.95001200000002</v>
      </c>
      <c r="E728">
        <v>488.60998499999999</v>
      </c>
      <c r="F728">
        <v>477.72000100000002</v>
      </c>
      <c r="G728">
        <v>481.790009</v>
      </c>
      <c r="H728">
        <v>481.790009</v>
      </c>
      <c r="I728">
        <f t="shared" si="46"/>
        <v>-0.16000300000001744</v>
      </c>
      <c r="J728">
        <v>3629200</v>
      </c>
      <c r="K728">
        <v>-4.0579710144927499E-2</v>
      </c>
      <c r="L728">
        <v>-14</v>
      </c>
      <c r="M728">
        <f t="shared" si="47"/>
        <v>-3.3199086215608898E-4</v>
      </c>
      <c r="N728">
        <v>345</v>
      </c>
    </row>
    <row r="729" spans="1:14" x14ac:dyDescent="0.25">
      <c r="A729" s="1">
        <v>44154</v>
      </c>
      <c r="B729" s="1">
        <f t="shared" si="44"/>
        <v>2020</v>
      </c>
      <c r="C729" s="1" t="str">
        <f t="shared" si="45"/>
        <v>Nov</v>
      </c>
      <c r="D729">
        <v>482</v>
      </c>
      <c r="E729">
        <v>487.79998799999998</v>
      </c>
      <c r="F729">
        <v>480.47000100000002</v>
      </c>
      <c r="G729">
        <v>484.67001299999998</v>
      </c>
      <c r="H729">
        <v>484.67001299999998</v>
      </c>
      <c r="I729">
        <f t="shared" si="46"/>
        <v>2.6700129999999831</v>
      </c>
      <c r="J729">
        <v>2254700</v>
      </c>
      <c r="K729">
        <v>-4.0133779264213999E-2</v>
      </c>
      <c r="L729">
        <v>-12</v>
      </c>
      <c r="M729">
        <f t="shared" si="47"/>
        <v>5.5394460580912514E-3</v>
      </c>
      <c r="N729">
        <v>299</v>
      </c>
    </row>
    <row r="730" spans="1:14" x14ac:dyDescent="0.25">
      <c r="A730" s="1">
        <v>44155</v>
      </c>
      <c r="B730" s="1">
        <f t="shared" si="44"/>
        <v>2020</v>
      </c>
      <c r="C730" s="1" t="str">
        <f t="shared" si="45"/>
        <v>Nov</v>
      </c>
      <c r="D730">
        <v>485.22000100000002</v>
      </c>
      <c r="E730">
        <v>494.76001000000002</v>
      </c>
      <c r="F730">
        <v>481.57000699999998</v>
      </c>
      <c r="G730">
        <v>488.23998999999998</v>
      </c>
      <c r="H730">
        <v>488.23998999999998</v>
      </c>
      <c r="I730">
        <f t="shared" si="46"/>
        <v>3.0199889999999527</v>
      </c>
      <c r="J730">
        <v>4253400</v>
      </c>
      <c r="K730">
        <v>-4.0404040404040401E-2</v>
      </c>
      <c r="L730">
        <v>-20</v>
      </c>
      <c r="M730">
        <f t="shared" si="47"/>
        <v>6.2239581916985996E-3</v>
      </c>
      <c r="N730">
        <v>495</v>
      </c>
    </row>
    <row r="731" spans="1:14" x14ac:dyDescent="0.25">
      <c r="A731" s="1">
        <v>44158</v>
      </c>
      <c r="B731" s="1">
        <f t="shared" si="44"/>
        <v>2020</v>
      </c>
      <c r="C731" s="1" t="str">
        <f t="shared" si="45"/>
        <v>Nov</v>
      </c>
      <c r="D731">
        <v>490.459991</v>
      </c>
      <c r="E731">
        <v>491.14999399999999</v>
      </c>
      <c r="F731">
        <v>475.83999599999999</v>
      </c>
      <c r="G731">
        <v>476.61999500000002</v>
      </c>
      <c r="H731">
        <v>476.61999500000002</v>
      </c>
      <c r="I731">
        <f t="shared" si="46"/>
        <v>-13.839995999999985</v>
      </c>
      <c r="J731">
        <v>5416600</v>
      </c>
      <c r="K731">
        <v>-2.3041474654377E-3</v>
      </c>
      <c r="L731">
        <v>-1</v>
      </c>
      <c r="M731">
        <f t="shared" si="47"/>
        <v>-2.8218399571760349E-2</v>
      </c>
      <c r="N731">
        <v>434</v>
      </c>
    </row>
    <row r="732" spans="1:14" x14ac:dyDescent="0.25">
      <c r="A732" s="1">
        <v>44159</v>
      </c>
      <c r="B732" s="1">
        <f t="shared" si="44"/>
        <v>2020</v>
      </c>
      <c r="C732" s="1" t="str">
        <f t="shared" si="45"/>
        <v>Nov</v>
      </c>
      <c r="D732">
        <v>478.83999599999999</v>
      </c>
      <c r="E732">
        <v>484.04998799999998</v>
      </c>
      <c r="F732">
        <v>475.89001500000001</v>
      </c>
      <c r="G732">
        <v>482.88000499999998</v>
      </c>
      <c r="H732">
        <v>482.88000499999998</v>
      </c>
      <c r="I732">
        <f t="shared" si="46"/>
        <v>4.0400089999999977</v>
      </c>
      <c r="J732">
        <v>3550500</v>
      </c>
      <c r="K732">
        <v>-2.0512820512820499E-2</v>
      </c>
      <c r="L732">
        <v>-8</v>
      </c>
      <c r="M732">
        <f t="shared" si="47"/>
        <v>8.4370750850979413E-3</v>
      </c>
      <c r="N732">
        <v>390</v>
      </c>
    </row>
    <row r="733" spans="1:14" x14ac:dyDescent="0.25">
      <c r="A733" s="1">
        <v>44160</v>
      </c>
      <c r="B733" s="1">
        <f t="shared" si="44"/>
        <v>2020</v>
      </c>
      <c r="C733" s="1" t="str">
        <f t="shared" si="45"/>
        <v>Nov</v>
      </c>
      <c r="D733">
        <v>485.13000499999998</v>
      </c>
      <c r="E733">
        <v>486.89999399999999</v>
      </c>
      <c r="F733">
        <v>478.92001299999998</v>
      </c>
      <c r="G733">
        <v>485</v>
      </c>
      <c r="H733">
        <v>485</v>
      </c>
      <c r="I733">
        <f t="shared" si="46"/>
        <v>-0.13000499999998283</v>
      </c>
      <c r="J733">
        <v>3598600</v>
      </c>
      <c r="K733">
        <v>-1.8633540372670801E-2</v>
      </c>
      <c r="L733">
        <v>-6</v>
      </c>
      <c r="M733">
        <f t="shared" si="47"/>
        <v>-2.6797971401497383E-4</v>
      </c>
      <c r="N733">
        <v>322</v>
      </c>
    </row>
    <row r="734" spans="1:14" x14ac:dyDescent="0.25">
      <c r="A734" s="1">
        <v>44162</v>
      </c>
      <c r="B734" s="1">
        <f t="shared" si="44"/>
        <v>2020</v>
      </c>
      <c r="C734" s="1" t="str">
        <f t="shared" si="45"/>
        <v>Nov</v>
      </c>
      <c r="D734">
        <v>486.57998700000002</v>
      </c>
      <c r="E734">
        <v>493.25</v>
      </c>
      <c r="F734">
        <v>481.85000600000001</v>
      </c>
      <c r="G734">
        <v>491.35998499999999</v>
      </c>
      <c r="H734">
        <v>491.35998499999999</v>
      </c>
      <c r="I734">
        <f t="shared" si="46"/>
        <v>4.7799979999999778</v>
      </c>
      <c r="J734">
        <v>2805800</v>
      </c>
      <c r="K734">
        <v>3.9370078740157403E-2</v>
      </c>
      <c r="L734">
        <v>10</v>
      </c>
      <c r="M734">
        <f t="shared" si="47"/>
        <v>9.8236633805491424E-3</v>
      </c>
      <c r="N734">
        <v>254</v>
      </c>
    </row>
    <row r="735" spans="1:14" x14ac:dyDescent="0.25">
      <c r="A735" s="1">
        <v>44165</v>
      </c>
      <c r="B735" s="1">
        <f t="shared" si="44"/>
        <v>2020</v>
      </c>
      <c r="C735" s="1" t="str">
        <f t="shared" si="45"/>
        <v>Nov</v>
      </c>
      <c r="D735">
        <v>490.07998700000002</v>
      </c>
      <c r="E735">
        <v>492.54998799999998</v>
      </c>
      <c r="F735">
        <v>481.26998900000001</v>
      </c>
      <c r="G735">
        <v>490.70001200000002</v>
      </c>
      <c r="H735">
        <v>490.70001200000002</v>
      </c>
      <c r="I735">
        <f t="shared" si="46"/>
        <v>0.62002499999999827</v>
      </c>
      <c r="J735">
        <v>3530900</v>
      </c>
      <c r="K735">
        <v>1.8633540372670801E-2</v>
      </c>
      <c r="L735">
        <v>6</v>
      </c>
      <c r="M735">
        <f t="shared" si="47"/>
        <v>1.2651506212188956E-3</v>
      </c>
      <c r="N735">
        <v>322</v>
      </c>
    </row>
    <row r="736" spans="1:14" x14ac:dyDescent="0.25">
      <c r="A736" s="1">
        <v>44166</v>
      </c>
      <c r="B736" s="1">
        <f t="shared" si="44"/>
        <v>2020</v>
      </c>
      <c r="C736" s="1" t="str">
        <f t="shared" si="45"/>
        <v>Dec</v>
      </c>
      <c r="D736">
        <v>492.33999599999999</v>
      </c>
      <c r="E736">
        <v>509.47000100000002</v>
      </c>
      <c r="F736">
        <v>491.98001099999999</v>
      </c>
      <c r="G736">
        <v>504.57998700000002</v>
      </c>
      <c r="H736">
        <v>504.57998700000002</v>
      </c>
      <c r="I736">
        <f t="shared" si="46"/>
        <v>12.239991000000032</v>
      </c>
      <c r="J736">
        <v>5052700</v>
      </c>
      <c r="K736">
        <v>7.5630252100840303E-2</v>
      </c>
      <c r="L736">
        <v>45</v>
      </c>
      <c r="M736">
        <f t="shared" si="47"/>
        <v>2.4860850427435174E-2</v>
      </c>
      <c r="N736">
        <v>595</v>
      </c>
    </row>
    <row r="737" spans="1:14" x14ac:dyDescent="0.25">
      <c r="A737" s="1">
        <v>44167</v>
      </c>
      <c r="B737" s="1">
        <f t="shared" si="44"/>
        <v>2020</v>
      </c>
      <c r="C737" s="1" t="str">
        <f t="shared" si="45"/>
        <v>Dec</v>
      </c>
      <c r="D737">
        <v>501.61999500000002</v>
      </c>
      <c r="E737">
        <v>506.79998799999998</v>
      </c>
      <c r="F737">
        <v>493.5</v>
      </c>
      <c r="G737">
        <v>503.38000499999998</v>
      </c>
      <c r="H737">
        <v>503.38000499999998</v>
      </c>
      <c r="I737">
        <f t="shared" si="46"/>
        <v>1.7600099999999657</v>
      </c>
      <c r="J737">
        <v>3028400</v>
      </c>
      <c r="K737">
        <v>-4.56730769230769E-2</v>
      </c>
      <c r="L737">
        <v>-19</v>
      </c>
      <c r="M737">
        <f t="shared" si="47"/>
        <v>3.5086520025980335E-3</v>
      </c>
      <c r="N737">
        <v>416</v>
      </c>
    </row>
    <row r="738" spans="1:14" x14ac:dyDescent="0.25">
      <c r="A738" s="1">
        <v>44168</v>
      </c>
      <c r="B738" s="1">
        <f t="shared" si="44"/>
        <v>2020</v>
      </c>
      <c r="C738" s="1" t="str">
        <f t="shared" si="45"/>
        <v>Dec</v>
      </c>
      <c r="D738">
        <v>502.98998999999998</v>
      </c>
      <c r="E738">
        <v>508.76998900000001</v>
      </c>
      <c r="F738">
        <v>496.040009</v>
      </c>
      <c r="G738">
        <v>497.51998900000001</v>
      </c>
      <c r="H738">
        <v>497.51998900000001</v>
      </c>
      <c r="I738">
        <f t="shared" si="46"/>
        <v>-5.4700009999999679</v>
      </c>
      <c r="J738">
        <v>2826100</v>
      </c>
      <c r="K738">
        <v>-6.8010075566750594E-2</v>
      </c>
      <c r="L738">
        <v>-27</v>
      </c>
      <c r="M738">
        <f t="shared" si="47"/>
        <v>-1.0874969897512212E-2</v>
      </c>
      <c r="N738">
        <v>397</v>
      </c>
    </row>
    <row r="739" spans="1:14" x14ac:dyDescent="0.25">
      <c r="A739" s="1">
        <v>44169</v>
      </c>
      <c r="B739" s="1">
        <f t="shared" si="44"/>
        <v>2020</v>
      </c>
      <c r="C739" s="1" t="str">
        <f t="shared" si="45"/>
        <v>Dec</v>
      </c>
      <c r="D739">
        <v>497.5</v>
      </c>
      <c r="E739">
        <v>504.5</v>
      </c>
      <c r="F739">
        <v>493.64001500000001</v>
      </c>
      <c r="G739">
        <v>498.30999800000001</v>
      </c>
      <c r="H739">
        <v>498.30999800000001</v>
      </c>
      <c r="I739">
        <f t="shared" si="46"/>
        <v>0.80999800000000732</v>
      </c>
      <c r="J739">
        <v>3666200</v>
      </c>
      <c r="K739">
        <v>-5.7788944723618001E-2</v>
      </c>
      <c r="L739">
        <v>-23</v>
      </c>
      <c r="M739">
        <f t="shared" si="47"/>
        <v>1.6281366834171001E-3</v>
      </c>
      <c r="N739">
        <v>398</v>
      </c>
    </row>
    <row r="740" spans="1:14" x14ac:dyDescent="0.25">
      <c r="A740" s="1">
        <v>44172</v>
      </c>
      <c r="B740" s="1">
        <f t="shared" si="44"/>
        <v>2020</v>
      </c>
      <c r="C740" s="1" t="str">
        <f t="shared" si="45"/>
        <v>Dec</v>
      </c>
      <c r="D740">
        <v>500.01001000000002</v>
      </c>
      <c r="E740">
        <v>517.76000999999997</v>
      </c>
      <c r="F740">
        <v>497.76998900000001</v>
      </c>
      <c r="G740">
        <v>515.78002900000001</v>
      </c>
      <c r="H740">
        <v>515.78002900000001</v>
      </c>
      <c r="I740">
        <f t="shared" si="46"/>
        <v>15.770018999999991</v>
      </c>
      <c r="J740">
        <v>4289300</v>
      </c>
      <c r="K740">
        <v>1.6014234875444799E-2</v>
      </c>
      <c r="L740">
        <v>9</v>
      </c>
      <c r="M740">
        <f t="shared" si="47"/>
        <v>3.1539406581080225E-2</v>
      </c>
      <c r="N740">
        <v>562</v>
      </c>
    </row>
    <row r="741" spans="1:14" x14ac:dyDescent="0.25">
      <c r="A741" s="1">
        <v>44173</v>
      </c>
      <c r="B741" s="1">
        <f t="shared" si="44"/>
        <v>2020</v>
      </c>
      <c r="C741" s="1" t="str">
        <f t="shared" si="45"/>
        <v>Dec</v>
      </c>
      <c r="D741">
        <v>517.90002400000003</v>
      </c>
      <c r="E741">
        <v>521.48999000000003</v>
      </c>
      <c r="F741">
        <v>505.54998799999998</v>
      </c>
      <c r="G741">
        <v>512.65997300000004</v>
      </c>
      <c r="H741">
        <v>512.65997300000004</v>
      </c>
      <c r="I741">
        <f t="shared" si="46"/>
        <v>-5.240050999999994</v>
      </c>
      <c r="J741">
        <v>4229000</v>
      </c>
      <c r="K741">
        <v>-3.5242290748898598E-2</v>
      </c>
      <c r="L741">
        <v>-16</v>
      </c>
      <c r="M741">
        <f t="shared" si="47"/>
        <v>-1.0117881361596526E-2</v>
      </c>
      <c r="N741">
        <v>454</v>
      </c>
    </row>
    <row r="742" spans="1:14" x14ac:dyDescent="0.25">
      <c r="A742" s="1">
        <v>44174</v>
      </c>
      <c r="B742" s="1">
        <f t="shared" si="44"/>
        <v>2020</v>
      </c>
      <c r="C742" s="1" t="str">
        <f t="shared" si="45"/>
        <v>Dec</v>
      </c>
      <c r="D742">
        <v>510.52999899999998</v>
      </c>
      <c r="E742">
        <v>514.5</v>
      </c>
      <c r="F742">
        <v>491.290009</v>
      </c>
      <c r="G742">
        <v>493.60000600000001</v>
      </c>
      <c r="H742">
        <v>493.60000600000001</v>
      </c>
      <c r="I742">
        <f t="shared" si="46"/>
        <v>-16.929992999999968</v>
      </c>
      <c r="J742">
        <v>4178800</v>
      </c>
      <c r="K742">
        <v>-8.43373493975903E-2</v>
      </c>
      <c r="L742">
        <v>-35</v>
      </c>
      <c r="M742">
        <f t="shared" si="47"/>
        <v>-3.3161602713183497E-2</v>
      </c>
      <c r="N742">
        <v>415</v>
      </c>
    </row>
    <row r="743" spans="1:14" x14ac:dyDescent="0.25">
      <c r="A743" s="1">
        <v>44175</v>
      </c>
      <c r="B743" s="1">
        <f t="shared" si="44"/>
        <v>2020</v>
      </c>
      <c r="C743" s="1" t="str">
        <f t="shared" si="45"/>
        <v>Dec</v>
      </c>
      <c r="D743">
        <v>494.55999800000001</v>
      </c>
      <c r="E743">
        <v>503.76998900000001</v>
      </c>
      <c r="F743">
        <v>492.91000400000001</v>
      </c>
      <c r="G743">
        <v>501.08999599999999</v>
      </c>
      <c r="H743">
        <v>501.08999599999999</v>
      </c>
      <c r="I743">
        <f t="shared" si="46"/>
        <v>6.5299979999999778</v>
      </c>
      <c r="J743">
        <v>3018200</v>
      </c>
      <c r="K743">
        <v>-6.1503416856492001E-2</v>
      </c>
      <c r="L743">
        <v>-27</v>
      </c>
      <c r="M743">
        <f t="shared" si="47"/>
        <v>1.3203651784226951E-2</v>
      </c>
      <c r="N743">
        <v>439</v>
      </c>
    </row>
    <row r="744" spans="1:14" x14ac:dyDescent="0.25">
      <c r="A744" s="1">
        <v>44176</v>
      </c>
      <c r="B744" s="1">
        <f t="shared" si="44"/>
        <v>2020</v>
      </c>
      <c r="C744" s="1" t="str">
        <f t="shared" si="45"/>
        <v>Dec</v>
      </c>
      <c r="D744">
        <v>495</v>
      </c>
      <c r="E744">
        <v>503.33999599999999</v>
      </c>
      <c r="F744">
        <v>494.85000600000001</v>
      </c>
      <c r="G744">
        <v>503.22000100000002</v>
      </c>
      <c r="H744">
        <v>503.22000100000002</v>
      </c>
      <c r="I744">
        <f t="shared" si="46"/>
        <v>8.2200010000000248</v>
      </c>
      <c r="J744">
        <v>3210900</v>
      </c>
      <c r="K744">
        <v>-5.9426229508196697E-2</v>
      </c>
      <c r="L744">
        <v>-29</v>
      </c>
      <c r="M744">
        <f t="shared" si="47"/>
        <v>1.6606062626262675E-2</v>
      </c>
      <c r="N744">
        <v>488</v>
      </c>
    </row>
    <row r="745" spans="1:14" x14ac:dyDescent="0.25">
      <c r="A745" s="1">
        <v>44179</v>
      </c>
      <c r="B745" s="1">
        <f t="shared" si="44"/>
        <v>2020</v>
      </c>
      <c r="C745" s="1" t="str">
        <f t="shared" si="45"/>
        <v>Dec</v>
      </c>
      <c r="D745">
        <v>505.44000199999999</v>
      </c>
      <c r="E745">
        <v>524.15997300000004</v>
      </c>
      <c r="F745">
        <v>501.17999300000002</v>
      </c>
      <c r="G745">
        <v>522.419983</v>
      </c>
      <c r="H745">
        <v>522.419983</v>
      </c>
      <c r="I745">
        <f t="shared" si="46"/>
        <v>16.979981000000009</v>
      </c>
      <c r="J745">
        <v>5770400</v>
      </c>
      <c r="K745">
        <v>0</v>
      </c>
      <c r="L745">
        <v>0</v>
      </c>
      <c r="M745">
        <f t="shared" si="47"/>
        <v>3.3594454203883947E-2</v>
      </c>
      <c r="N745">
        <v>457</v>
      </c>
    </row>
    <row r="746" spans="1:14" x14ac:dyDescent="0.25">
      <c r="A746" s="1">
        <v>44180</v>
      </c>
      <c r="B746" s="1">
        <f t="shared" si="44"/>
        <v>2020</v>
      </c>
      <c r="C746" s="1" t="str">
        <f t="shared" si="45"/>
        <v>Dec</v>
      </c>
      <c r="D746">
        <v>518.5</v>
      </c>
      <c r="E746">
        <v>524.70001200000002</v>
      </c>
      <c r="F746">
        <v>513.55999799999995</v>
      </c>
      <c r="G746">
        <v>519.78002900000001</v>
      </c>
      <c r="H746">
        <v>519.78002900000001</v>
      </c>
      <c r="I746">
        <f t="shared" si="46"/>
        <v>1.2800290000000132</v>
      </c>
      <c r="J746">
        <v>3394900</v>
      </c>
      <c r="K746">
        <v>7.9575596816976006E-3</v>
      </c>
      <c r="L746">
        <v>3</v>
      </c>
      <c r="M746">
        <f t="shared" si="47"/>
        <v>2.4687155255545094E-3</v>
      </c>
      <c r="N746">
        <v>377</v>
      </c>
    </row>
    <row r="747" spans="1:14" x14ac:dyDescent="0.25">
      <c r="A747" s="1">
        <v>44181</v>
      </c>
      <c r="B747" s="1">
        <f t="shared" si="44"/>
        <v>2020</v>
      </c>
      <c r="C747" s="1" t="str">
        <f t="shared" si="45"/>
        <v>Dec</v>
      </c>
      <c r="D747">
        <v>520.10998500000005</v>
      </c>
      <c r="E747">
        <v>527.38000499999998</v>
      </c>
      <c r="F747">
        <v>517.69000200000005</v>
      </c>
      <c r="G747">
        <v>524.830017</v>
      </c>
      <c r="H747">
        <v>524.830017</v>
      </c>
      <c r="I747">
        <f t="shared" si="46"/>
        <v>4.7200319999999465</v>
      </c>
      <c r="J747">
        <v>3682400</v>
      </c>
      <c r="K747">
        <v>-3.24324324324324E-2</v>
      </c>
      <c r="L747">
        <v>-12</v>
      </c>
      <c r="M747">
        <f t="shared" si="47"/>
        <v>9.0750651518446551E-3</v>
      </c>
      <c r="N747">
        <v>370</v>
      </c>
    </row>
    <row r="748" spans="1:14" x14ac:dyDescent="0.25">
      <c r="A748" s="1">
        <v>44182</v>
      </c>
      <c r="B748" s="1">
        <f t="shared" si="44"/>
        <v>2020</v>
      </c>
      <c r="C748" s="1" t="str">
        <f t="shared" si="45"/>
        <v>Dec</v>
      </c>
      <c r="D748">
        <v>529</v>
      </c>
      <c r="E748">
        <v>535.48999000000003</v>
      </c>
      <c r="F748">
        <v>526.44000200000005</v>
      </c>
      <c r="G748">
        <v>532.90002400000003</v>
      </c>
      <c r="H748">
        <v>532.90002400000003</v>
      </c>
      <c r="I748">
        <f t="shared" si="46"/>
        <v>3.9000240000000304</v>
      </c>
      <c r="J748">
        <v>3193400</v>
      </c>
      <c r="K748">
        <v>-2.0547945205479399E-2</v>
      </c>
      <c r="L748">
        <v>-9</v>
      </c>
      <c r="M748">
        <f t="shared" si="47"/>
        <v>7.3724461247637622E-3</v>
      </c>
      <c r="N748">
        <v>438</v>
      </c>
    </row>
    <row r="749" spans="1:14" x14ac:dyDescent="0.25">
      <c r="A749" s="1">
        <v>44183</v>
      </c>
      <c r="B749" s="1">
        <f t="shared" si="44"/>
        <v>2020</v>
      </c>
      <c r="C749" s="1" t="str">
        <f t="shared" si="45"/>
        <v>Dec</v>
      </c>
      <c r="D749">
        <v>533.20001200000002</v>
      </c>
      <c r="E749">
        <v>536.36999500000002</v>
      </c>
      <c r="F749">
        <v>526.02002000000005</v>
      </c>
      <c r="G749">
        <v>534.45001200000002</v>
      </c>
      <c r="H749">
        <v>534.45001200000002</v>
      </c>
      <c r="I749">
        <f t="shared" si="46"/>
        <v>1.25</v>
      </c>
      <c r="J749">
        <v>4502700</v>
      </c>
      <c r="K749">
        <v>-2.33333333333333E-2</v>
      </c>
      <c r="L749">
        <v>-7</v>
      </c>
      <c r="M749">
        <f t="shared" si="47"/>
        <v>2.3443360312602542E-3</v>
      </c>
      <c r="N749">
        <v>300</v>
      </c>
    </row>
    <row r="750" spans="1:14" x14ac:dyDescent="0.25">
      <c r="A750" s="1">
        <v>44186</v>
      </c>
      <c r="B750" s="1">
        <f t="shared" si="44"/>
        <v>2020</v>
      </c>
      <c r="C750" s="1" t="str">
        <f t="shared" si="45"/>
        <v>Dec</v>
      </c>
      <c r="D750">
        <v>530.04998799999998</v>
      </c>
      <c r="E750">
        <v>532.61999500000002</v>
      </c>
      <c r="F750">
        <v>521.15002400000003</v>
      </c>
      <c r="G750">
        <v>528.90997300000004</v>
      </c>
      <c r="H750">
        <v>528.90997300000004</v>
      </c>
      <c r="I750">
        <f t="shared" si="46"/>
        <v>-1.1400149999999485</v>
      </c>
      <c r="J750">
        <v>3894000</v>
      </c>
      <c r="K750">
        <v>-4.6099290780141799E-2</v>
      </c>
      <c r="L750">
        <v>-13</v>
      </c>
      <c r="M750">
        <f t="shared" si="47"/>
        <v>-2.1507688440886232E-3</v>
      </c>
      <c r="N750">
        <v>282</v>
      </c>
    </row>
    <row r="751" spans="1:14" x14ac:dyDescent="0.25">
      <c r="A751" s="1">
        <v>44187</v>
      </c>
      <c r="B751" s="1">
        <f t="shared" si="44"/>
        <v>2020</v>
      </c>
      <c r="C751" s="1" t="str">
        <f t="shared" si="45"/>
        <v>Dec</v>
      </c>
      <c r="D751">
        <v>527.69000200000005</v>
      </c>
      <c r="E751">
        <v>530.40002400000003</v>
      </c>
      <c r="F751">
        <v>520.5</v>
      </c>
      <c r="G751">
        <v>527.330017</v>
      </c>
      <c r="H751">
        <v>527.330017</v>
      </c>
      <c r="I751">
        <f t="shared" si="46"/>
        <v>-0.35998500000005151</v>
      </c>
      <c r="J751">
        <v>1906600</v>
      </c>
      <c r="K751">
        <v>-5.7239057239057201E-2</v>
      </c>
      <c r="L751">
        <v>-17</v>
      </c>
      <c r="M751">
        <f t="shared" si="47"/>
        <v>-6.8219029853829115E-4</v>
      </c>
      <c r="N751">
        <v>297</v>
      </c>
    </row>
    <row r="752" spans="1:14" x14ac:dyDescent="0.25">
      <c r="A752" s="1">
        <v>44188</v>
      </c>
      <c r="B752" s="1">
        <f t="shared" si="44"/>
        <v>2020</v>
      </c>
      <c r="C752" s="1" t="str">
        <f t="shared" si="45"/>
        <v>Dec</v>
      </c>
      <c r="D752">
        <v>524.76000999999997</v>
      </c>
      <c r="E752">
        <v>526.32000700000003</v>
      </c>
      <c r="F752">
        <v>514.20001200000002</v>
      </c>
      <c r="G752">
        <v>514.47997999999995</v>
      </c>
      <c r="H752">
        <v>514.47997999999995</v>
      </c>
      <c r="I752">
        <f t="shared" si="46"/>
        <v>-10.280030000000011</v>
      </c>
      <c r="J752">
        <v>2393200</v>
      </c>
      <c r="K752">
        <v>-9.2857142857142805E-2</v>
      </c>
      <c r="L752">
        <v>-26</v>
      </c>
      <c r="M752">
        <f t="shared" si="47"/>
        <v>-1.9589964563039037E-2</v>
      </c>
      <c r="N752">
        <v>280</v>
      </c>
    </row>
    <row r="753" spans="1:14" x14ac:dyDescent="0.25">
      <c r="A753" s="1">
        <v>44189</v>
      </c>
      <c r="B753" s="1">
        <f t="shared" si="44"/>
        <v>2020</v>
      </c>
      <c r="C753" s="1" t="str">
        <f t="shared" si="45"/>
        <v>Dec</v>
      </c>
      <c r="D753">
        <v>515.11999500000002</v>
      </c>
      <c r="E753">
        <v>519.34997599999997</v>
      </c>
      <c r="F753">
        <v>512.21002199999998</v>
      </c>
      <c r="G753">
        <v>513.96997099999999</v>
      </c>
      <c r="H753">
        <v>513.96997099999999</v>
      </c>
      <c r="I753">
        <f t="shared" si="46"/>
        <v>-1.1500240000000304</v>
      </c>
      <c r="J753">
        <v>1144000</v>
      </c>
      <c r="K753">
        <v>-7.6433121019108194E-2</v>
      </c>
      <c r="L753">
        <v>-12</v>
      </c>
      <c r="M753">
        <f t="shared" si="47"/>
        <v>-2.2325361297614362E-3</v>
      </c>
      <c r="N753">
        <v>157</v>
      </c>
    </row>
    <row r="754" spans="1:14" x14ac:dyDescent="0.25">
      <c r="A754" s="1">
        <v>44193</v>
      </c>
      <c r="B754" s="1">
        <f t="shared" si="44"/>
        <v>2020</v>
      </c>
      <c r="C754" s="1" t="str">
        <f t="shared" si="45"/>
        <v>Dec</v>
      </c>
      <c r="D754">
        <v>516.42999299999997</v>
      </c>
      <c r="E754">
        <v>523.65997300000004</v>
      </c>
      <c r="F754">
        <v>507.13000499999998</v>
      </c>
      <c r="G754">
        <v>519.11999500000002</v>
      </c>
      <c r="H754">
        <v>519.11999500000002</v>
      </c>
      <c r="I754">
        <f t="shared" si="46"/>
        <v>2.6900020000000495</v>
      </c>
      <c r="J754">
        <v>2891900</v>
      </c>
      <c r="K754">
        <v>2.7210884353741398E-2</v>
      </c>
      <c r="L754">
        <v>8</v>
      </c>
      <c r="M754">
        <f t="shared" si="47"/>
        <v>5.2088415399220425E-3</v>
      </c>
      <c r="N754">
        <v>294</v>
      </c>
    </row>
    <row r="755" spans="1:14" x14ac:dyDescent="0.25">
      <c r="A755" s="1">
        <v>44194</v>
      </c>
      <c r="B755" s="1">
        <f t="shared" si="44"/>
        <v>2020</v>
      </c>
      <c r="C755" s="1" t="str">
        <f t="shared" si="45"/>
        <v>Dec</v>
      </c>
      <c r="D755">
        <v>519.90002400000003</v>
      </c>
      <c r="E755">
        <v>536.54998799999998</v>
      </c>
      <c r="F755">
        <v>515.47997999999995</v>
      </c>
      <c r="G755">
        <v>530.86999500000002</v>
      </c>
      <c r="H755">
        <v>530.86999500000002</v>
      </c>
      <c r="I755">
        <f t="shared" si="46"/>
        <v>10.969970999999987</v>
      </c>
      <c r="J755">
        <v>4022400</v>
      </c>
      <c r="K755">
        <v>2.1531100478468901E-2</v>
      </c>
      <c r="L755">
        <v>9</v>
      </c>
      <c r="M755">
        <f t="shared" si="47"/>
        <v>2.1100154825151509E-2</v>
      </c>
      <c r="N755">
        <v>418</v>
      </c>
    </row>
    <row r="756" spans="1:14" x14ac:dyDescent="0.25">
      <c r="A756" s="1">
        <v>44195</v>
      </c>
      <c r="B756" s="1">
        <f t="shared" si="44"/>
        <v>2020</v>
      </c>
      <c r="C756" s="1" t="str">
        <f t="shared" si="45"/>
        <v>Dec</v>
      </c>
      <c r="D756">
        <v>530.13000499999998</v>
      </c>
      <c r="E756">
        <v>533.26000999999997</v>
      </c>
      <c r="F756">
        <v>523.69000200000005</v>
      </c>
      <c r="G756">
        <v>524.59002699999996</v>
      </c>
      <c r="H756">
        <v>524.59002699999996</v>
      </c>
      <c r="I756">
        <f t="shared" si="46"/>
        <v>-5.5399780000000192</v>
      </c>
      <c r="J756">
        <v>1876300</v>
      </c>
      <c r="K756">
        <v>-5.6105610561056098E-2</v>
      </c>
      <c r="L756">
        <v>-17</v>
      </c>
      <c r="M756">
        <f t="shared" si="47"/>
        <v>-1.0450225317844477E-2</v>
      </c>
      <c r="N756">
        <v>303</v>
      </c>
    </row>
    <row r="757" spans="1:14" x14ac:dyDescent="0.25">
      <c r="A757" s="1">
        <v>44196</v>
      </c>
      <c r="B757" s="1">
        <f t="shared" si="44"/>
        <v>2020</v>
      </c>
      <c r="C757" s="1" t="str">
        <f t="shared" si="45"/>
        <v>Dec</v>
      </c>
      <c r="D757">
        <v>525.53002900000001</v>
      </c>
      <c r="E757">
        <v>545.5</v>
      </c>
      <c r="F757">
        <v>523.15002400000003</v>
      </c>
      <c r="G757">
        <v>540.72997999999995</v>
      </c>
      <c r="H757">
        <v>540.72997999999995</v>
      </c>
      <c r="I757">
        <f t="shared" si="46"/>
        <v>15.199950999999942</v>
      </c>
      <c r="J757">
        <v>5392300</v>
      </c>
      <c r="K757">
        <v>3.1390134529147899E-2</v>
      </c>
      <c r="L757">
        <v>14</v>
      </c>
      <c r="M757">
        <f t="shared" si="47"/>
        <v>2.8923087475939347E-2</v>
      </c>
      <c r="N757">
        <v>446</v>
      </c>
    </row>
    <row r="758" spans="1:14" x14ac:dyDescent="0.25">
      <c r="A758" s="1">
        <v>44200</v>
      </c>
      <c r="B758" s="1">
        <f t="shared" si="44"/>
        <v>2021</v>
      </c>
      <c r="C758" s="1" t="str">
        <f t="shared" si="45"/>
        <v>Jan</v>
      </c>
      <c r="D758">
        <v>539</v>
      </c>
      <c r="E758">
        <v>540.79998799999998</v>
      </c>
      <c r="F758">
        <v>515.09002699999996</v>
      </c>
      <c r="G758">
        <v>522.85998500000005</v>
      </c>
      <c r="H758">
        <v>522.85998500000005</v>
      </c>
      <c r="I758">
        <f t="shared" si="46"/>
        <v>-16.140014999999948</v>
      </c>
      <c r="J758">
        <v>4444400</v>
      </c>
      <c r="K758">
        <v>-4.1763341067285298E-2</v>
      </c>
      <c r="L758">
        <v>-18</v>
      </c>
      <c r="M758">
        <f t="shared" si="47"/>
        <v>-2.9944369202226248E-2</v>
      </c>
      <c r="N758">
        <v>431</v>
      </c>
    </row>
    <row r="759" spans="1:14" x14ac:dyDescent="0.25">
      <c r="A759" s="1">
        <v>44201</v>
      </c>
      <c r="B759" s="1">
        <f t="shared" si="44"/>
        <v>2021</v>
      </c>
      <c r="C759" s="1" t="str">
        <f t="shared" si="45"/>
        <v>Jan</v>
      </c>
      <c r="D759">
        <v>521.54998799999998</v>
      </c>
      <c r="E759">
        <v>526.78002900000001</v>
      </c>
      <c r="F759">
        <v>515.89001499999995</v>
      </c>
      <c r="G759">
        <v>520.79998799999998</v>
      </c>
      <c r="H759">
        <v>520.79998799999998</v>
      </c>
      <c r="I759">
        <f t="shared" si="46"/>
        <v>-0.75</v>
      </c>
      <c r="J759">
        <v>3133900</v>
      </c>
      <c r="K759">
        <v>-7.6023391812865396E-2</v>
      </c>
      <c r="L759">
        <v>-26</v>
      </c>
      <c r="M759">
        <f t="shared" si="47"/>
        <v>-1.4380213158014684E-3</v>
      </c>
      <c r="N759">
        <v>342</v>
      </c>
    </row>
    <row r="760" spans="1:14" x14ac:dyDescent="0.25">
      <c r="A760" s="1">
        <v>44202</v>
      </c>
      <c r="B760" s="1">
        <f t="shared" si="44"/>
        <v>2021</v>
      </c>
      <c r="C760" s="1" t="str">
        <f t="shared" si="45"/>
        <v>Jan</v>
      </c>
      <c r="D760">
        <v>511.97000100000002</v>
      </c>
      <c r="E760">
        <v>513.09997599999997</v>
      </c>
      <c r="F760">
        <v>499.5</v>
      </c>
      <c r="G760">
        <v>500.48998999999998</v>
      </c>
      <c r="H760">
        <v>500.48998999999998</v>
      </c>
      <c r="I760">
        <f t="shared" si="46"/>
        <v>-11.480011000000047</v>
      </c>
      <c r="J760">
        <v>5346200</v>
      </c>
      <c r="K760">
        <v>-6.19047619047619E-2</v>
      </c>
      <c r="L760">
        <v>-26</v>
      </c>
      <c r="M760">
        <f t="shared" si="47"/>
        <v>-2.2423210300558306E-2</v>
      </c>
      <c r="N760">
        <v>420</v>
      </c>
    </row>
    <row r="761" spans="1:14" x14ac:dyDescent="0.25">
      <c r="A761" s="1">
        <v>44203</v>
      </c>
      <c r="B761" s="1">
        <f t="shared" si="44"/>
        <v>2021</v>
      </c>
      <c r="C761" s="1" t="str">
        <f t="shared" si="45"/>
        <v>Jan</v>
      </c>
      <c r="D761">
        <v>508.27999899999998</v>
      </c>
      <c r="E761">
        <v>516.44000200000005</v>
      </c>
      <c r="F761">
        <v>506.42001299999998</v>
      </c>
      <c r="G761">
        <v>508.89001500000001</v>
      </c>
      <c r="H761">
        <v>508.89001500000001</v>
      </c>
      <c r="I761">
        <f t="shared" si="46"/>
        <v>0.61001600000003009</v>
      </c>
      <c r="J761">
        <v>3686400</v>
      </c>
      <c r="K761">
        <v>-6.9182389937106903E-2</v>
      </c>
      <c r="L761">
        <v>-22</v>
      </c>
      <c r="M761">
        <f t="shared" si="47"/>
        <v>1.2001573959238756E-3</v>
      </c>
      <c r="N761">
        <v>318</v>
      </c>
    </row>
    <row r="762" spans="1:14" x14ac:dyDescent="0.25">
      <c r="A762" s="1">
        <v>44204</v>
      </c>
      <c r="B762" s="1">
        <f t="shared" si="44"/>
        <v>2021</v>
      </c>
      <c r="C762" s="1" t="str">
        <f t="shared" si="45"/>
        <v>Jan</v>
      </c>
      <c r="D762">
        <v>511.30999800000001</v>
      </c>
      <c r="E762">
        <v>513.23999000000003</v>
      </c>
      <c r="F762">
        <v>504.51001000000002</v>
      </c>
      <c r="G762">
        <v>510.39999399999999</v>
      </c>
      <c r="H762">
        <v>510.39999399999999</v>
      </c>
      <c r="I762">
        <f t="shared" si="46"/>
        <v>-0.91000400000001491</v>
      </c>
      <c r="J762">
        <v>2973900</v>
      </c>
      <c r="K762">
        <v>-1.06761565836298E-2</v>
      </c>
      <c r="L762">
        <v>-3</v>
      </c>
      <c r="M762">
        <f t="shared" si="47"/>
        <v>-1.7797500607449786E-3</v>
      </c>
      <c r="N762">
        <v>281</v>
      </c>
    </row>
    <row r="763" spans="1:14" x14ac:dyDescent="0.25">
      <c r="A763" s="1">
        <v>44207</v>
      </c>
      <c r="B763" s="1">
        <f t="shared" si="44"/>
        <v>2021</v>
      </c>
      <c r="C763" s="1" t="str">
        <f t="shared" si="45"/>
        <v>Jan</v>
      </c>
      <c r="D763">
        <v>507.83999599999999</v>
      </c>
      <c r="E763">
        <v>510.73001099999999</v>
      </c>
      <c r="F763">
        <v>497.95001200000002</v>
      </c>
      <c r="G763">
        <v>499.10000600000001</v>
      </c>
      <c r="H763">
        <v>499.10000600000001</v>
      </c>
      <c r="I763">
        <f t="shared" si="46"/>
        <v>-8.7399899999999775</v>
      </c>
      <c r="J763">
        <v>3806200</v>
      </c>
      <c r="K763">
        <v>-5.2805280528052799E-2</v>
      </c>
      <c r="L763">
        <v>-16</v>
      </c>
      <c r="M763">
        <f t="shared" si="47"/>
        <v>-1.7210125371850345E-2</v>
      </c>
      <c r="N763">
        <v>303</v>
      </c>
    </row>
    <row r="764" spans="1:14" x14ac:dyDescent="0.25">
      <c r="A764" s="1">
        <v>44208</v>
      </c>
      <c r="B764" s="1">
        <f t="shared" si="44"/>
        <v>2021</v>
      </c>
      <c r="C764" s="1" t="str">
        <f t="shared" si="45"/>
        <v>Jan</v>
      </c>
      <c r="D764">
        <v>500</v>
      </c>
      <c r="E764">
        <v>501.08999599999999</v>
      </c>
      <c r="F764">
        <v>485.67001299999998</v>
      </c>
      <c r="G764">
        <v>494.25</v>
      </c>
      <c r="H764">
        <v>494.25</v>
      </c>
      <c r="I764">
        <f t="shared" si="46"/>
        <v>-5.75</v>
      </c>
      <c r="J764">
        <v>5990400</v>
      </c>
      <c r="K764">
        <v>-5.1224944320712597E-2</v>
      </c>
      <c r="L764">
        <v>-23</v>
      </c>
      <c r="M764">
        <f t="shared" si="47"/>
        <v>-1.15E-2</v>
      </c>
      <c r="N764">
        <v>449</v>
      </c>
    </row>
    <row r="765" spans="1:14" x14ac:dyDescent="0.25">
      <c r="A765" s="1">
        <v>44209</v>
      </c>
      <c r="B765" s="1">
        <f t="shared" si="44"/>
        <v>2021</v>
      </c>
      <c r="C765" s="1" t="str">
        <f t="shared" si="45"/>
        <v>Jan</v>
      </c>
      <c r="D765">
        <v>495.5</v>
      </c>
      <c r="E765">
        <v>512.34997599999997</v>
      </c>
      <c r="F765">
        <v>493.01001000000002</v>
      </c>
      <c r="G765">
        <v>507.790009</v>
      </c>
      <c r="H765">
        <v>507.790009</v>
      </c>
      <c r="I765">
        <f t="shared" si="46"/>
        <v>12.290008999999998</v>
      </c>
      <c r="J765">
        <v>5032100</v>
      </c>
      <c r="K765">
        <v>-4.4345898004434E-3</v>
      </c>
      <c r="L765">
        <v>-2</v>
      </c>
      <c r="M765">
        <f t="shared" si="47"/>
        <v>2.4803247225025221E-2</v>
      </c>
      <c r="N765">
        <v>451</v>
      </c>
    </row>
    <row r="766" spans="1:14" x14ac:dyDescent="0.25">
      <c r="A766" s="1">
        <v>44210</v>
      </c>
      <c r="B766" s="1">
        <f t="shared" si="44"/>
        <v>2021</v>
      </c>
      <c r="C766" s="1" t="str">
        <f t="shared" si="45"/>
        <v>Jan</v>
      </c>
      <c r="D766">
        <v>507.35000600000001</v>
      </c>
      <c r="E766">
        <v>514.5</v>
      </c>
      <c r="F766">
        <v>499.57998700000002</v>
      </c>
      <c r="G766">
        <v>500.85998499999999</v>
      </c>
      <c r="H766">
        <v>500.85998499999999</v>
      </c>
      <c r="I766">
        <f t="shared" si="46"/>
        <v>-6.4900210000000129</v>
      </c>
      <c r="J766">
        <v>4177400</v>
      </c>
      <c r="K766">
        <v>0</v>
      </c>
      <c r="L766">
        <v>0</v>
      </c>
      <c r="M766">
        <f t="shared" si="47"/>
        <v>-1.2791999454514667E-2</v>
      </c>
      <c r="N766">
        <v>376</v>
      </c>
    </row>
    <row r="767" spans="1:14" x14ac:dyDescent="0.25">
      <c r="A767" s="1">
        <v>44211</v>
      </c>
      <c r="B767" s="1">
        <f t="shared" si="44"/>
        <v>2021</v>
      </c>
      <c r="C767" s="1" t="str">
        <f t="shared" si="45"/>
        <v>Jan</v>
      </c>
      <c r="D767">
        <v>500</v>
      </c>
      <c r="E767">
        <v>506.32000699999998</v>
      </c>
      <c r="F767">
        <v>495.10000600000001</v>
      </c>
      <c r="G767">
        <v>497.98001099999999</v>
      </c>
      <c r="H767">
        <v>497.98001099999999</v>
      </c>
      <c r="I767">
        <f t="shared" si="46"/>
        <v>-2.0199890000000096</v>
      </c>
      <c r="J767">
        <v>5895800</v>
      </c>
      <c r="K767">
        <v>-4.6647230320699701E-2</v>
      </c>
      <c r="L767">
        <v>-16</v>
      </c>
      <c r="M767">
        <f t="shared" si="47"/>
        <v>-4.0399780000000196E-3</v>
      </c>
      <c r="N767">
        <v>343</v>
      </c>
    </row>
    <row r="768" spans="1:14" x14ac:dyDescent="0.25">
      <c r="A768" s="1">
        <v>44215</v>
      </c>
      <c r="B768" s="1">
        <f t="shared" si="44"/>
        <v>2021</v>
      </c>
      <c r="C768" s="1" t="str">
        <f t="shared" si="45"/>
        <v>Jan</v>
      </c>
      <c r="D768">
        <v>501</v>
      </c>
      <c r="E768">
        <v>509.25</v>
      </c>
      <c r="F768">
        <v>493.540009</v>
      </c>
      <c r="G768">
        <v>501.76998900000001</v>
      </c>
      <c r="H768">
        <v>501.76998900000001</v>
      </c>
      <c r="I768">
        <f t="shared" si="46"/>
        <v>0.76998900000000958</v>
      </c>
      <c r="J768">
        <v>12315800</v>
      </c>
      <c r="K768">
        <v>9.1522157996146002E-3</v>
      </c>
      <c r="L768">
        <v>19</v>
      </c>
      <c r="M768">
        <f t="shared" si="47"/>
        <v>1.5369041916167856E-3</v>
      </c>
      <c r="N768">
        <v>2076</v>
      </c>
    </row>
    <row r="769" spans="1:14" x14ac:dyDescent="0.25">
      <c r="A769" s="1">
        <v>44216</v>
      </c>
      <c r="B769" s="1">
        <f t="shared" si="44"/>
        <v>2021</v>
      </c>
      <c r="C769" s="1" t="str">
        <f t="shared" si="45"/>
        <v>Jan</v>
      </c>
      <c r="D769">
        <v>565.419983</v>
      </c>
      <c r="E769">
        <v>593.28997800000002</v>
      </c>
      <c r="F769">
        <v>556.85998500000005</v>
      </c>
      <c r="G769">
        <v>586.34002699999996</v>
      </c>
      <c r="H769">
        <v>586.34002699999996</v>
      </c>
      <c r="I769">
        <f t="shared" si="46"/>
        <v>20.920043999999962</v>
      </c>
      <c r="J769">
        <v>32637500</v>
      </c>
      <c r="K769">
        <v>4.4588569112282102E-2</v>
      </c>
      <c r="L769">
        <v>110</v>
      </c>
      <c r="M769">
        <f t="shared" si="47"/>
        <v>3.6999123888410507E-2</v>
      </c>
      <c r="N769">
        <v>2467</v>
      </c>
    </row>
    <row r="770" spans="1:14" x14ac:dyDescent="0.25">
      <c r="A770" s="1">
        <v>44217</v>
      </c>
      <c r="B770" s="1">
        <f t="shared" ref="B770:B833" si="48">YEAR(A770)</f>
        <v>2021</v>
      </c>
      <c r="C770" s="1" t="str">
        <f t="shared" ref="C770:C833" si="49">TEXT(A770,"mmm")</f>
        <v>Jan</v>
      </c>
      <c r="D770">
        <v>582.45001200000002</v>
      </c>
      <c r="E770">
        <v>588.75</v>
      </c>
      <c r="F770">
        <v>570.40002400000003</v>
      </c>
      <c r="G770">
        <v>579.84002699999996</v>
      </c>
      <c r="H770">
        <v>579.84002699999996</v>
      </c>
      <c r="I770">
        <f t="shared" ref="I770:I833" si="50">G770-D770</f>
        <v>-2.6099850000000515</v>
      </c>
      <c r="J770">
        <v>11802100</v>
      </c>
      <c r="K770">
        <v>-1.17021276595744E-2</v>
      </c>
      <c r="L770">
        <v>-11</v>
      </c>
      <c r="M770">
        <f t="shared" ref="M770:M833" si="51">(G770-D770)/D770</f>
        <v>-4.4810454909906521E-3</v>
      </c>
      <c r="N770">
        <v>940</v>
      </c>
    </row>
    <row r="771" spans="1:14" x14ac:dyDescent="0.25">
      <c r="A771" s="1">
        <v>44218</v>
      </c>
      <c r="B771" s="1">
        <f t="shared" si="48"/>
        <v>2021</v>
      </c>
      <c r="C771" s="1" t="str">
        <f t="shared" si="49"/>
        <v>Jan</v>
      </c>
      <c r="D771">
        <v>582.09997599999997</v>
      </c>
      <c r="E771">
        <v>583.98999000000003</v>
      </c>
      <c r="F771">
        <v>564.34997599999997</v>
      </c>
      <c r="G771">
        <v>565.169983</v>
      </c>
      <c r="H771">
        <v>565.169983</v>
      </c>
      <c r="I771">
        <f t="shared" si="50"/>
        <v>-16.929992999999968</v>
      </c>
      <c r="J771">
        <v>7550800</v>
      </c>
      <c r="K771">
        <v>-2.56880733944954E-2</v>
      </c>
      <c r="L771">
        <v>-14</v>
      </c>
      <c r="M771">
        <f t="shared" si="51"/>
        <v>-2.908433894180399E-2</v>
      </c>
      <c r="N771">
        <v>545</v>
      </c>
    </row>
    <row r="772" spans="1:14" x14ac:dyDescent="0.25">
      <c r="A772" s="1">
        <v>44221</v>
      </c>
      <c r="B772" s="1">
        <f t="shared" si="48"/>
        <v>2021</v>
      </c>
      <c r="C772" s="1" t="str">
        <f t="shared" si="49"/>
        <v>Jan</v>
      </c>
      <c r="D772">
        <v>567</v>
      </c>
      <c r="E772">
        <v>569.75</v>
      </c>
      <c r="F772">
        <v>548.65002400000003</v>
      </c>
      <c r="G772">
        <v>556.78002900000001</v>
      </c>
      <c r="H772">
        <v>556.78002900000001</v>
      </c>
      <c r="I772">
        <f t="shared" si="50"/>
        <v>-10.219970999999987</v>
      </c>
      <c r="J772">
        <v>7207300</v>
      </c>
      <c r="K772">
        <v>-6.6937119675456305E-2</v>
      </c>
      <c r="L772">
        <v>-33</v>
      </c>
      <c r="M772">
        <f t="shared" si="51"/>
        <v>-1.802464021164019E-2</v>
      </c>
      <c r="N772">
        <v>493</v>
      </c>
    </row>
    <row r="773" spans="1:14" x14ac:dyDescent="0.25">
      <c r="A773" s="1">
        <v>44222</v>
      </c>
      <c r="B773" s="1">
        <f t="shared" si="48"/>
        <v>2021</v>
      </c>
      <c r="C773" s="1" t="str">
        <f t="shared" si="49"/>
        <v>Jan</v>
      </c>
      <c r="D773">
        <v>554.72997999999995</v>
      </c>
      <c r="E773">
        <v>567.98999000000003</v>
      </c>
      <c r="F773">
        <v>554.05999799999995</v>
      </c>
      <c r="G773">
        <v>561.92999299999997</v>
      </c>
      <c r="H773">
        <v>561.92999299999997</v>
      </c>
      <c r="I773">
        <f t="shared" si="50"/>
        <v>7.2000130000000127</v>
      </c>
      <c r="J773">
        <v>5023800</v>
      </c>
      <c r="K773">
        <v>-2.0576131687242798E-2</v>
      </c>
      <c r="L773">
        <v>-10</v>
      </c>
      <c r="M773">
        <f t="shared" si="51"/>
        <v>1.2979311123584872E-2</v>
      </c>
      <c r="N773">
        <v>486</v>
      </c>
    </row>
    <row r="774" spans="1:14" x14ac:dyDescent="0.25">
      <c r="A774" s="1">
        <v>44223</v>
      </c>
      <c r="B774" s="1">
        <f t="shared" si="48"/>
        <v>2021</v>
      </c>
      <c r="C774" s="1" t="str">
        <f t="shared" si="49"/>
        <v>Jan</v>
      </c>
      <c r="D774">
        <v>550.71002199999998</v>
      </c>
      <c r="E774">
        <v>556.419983</v>
      </c>
      <c r="F774">
        <v>515.72997999999995</v>
      </c>
      <c r="G774">
        <v>523.28002900000001</v>
      </c>
      <c r="H774">
        <v>523.28002900000001</v>
      </c>
      <c r="I774">
        <f t="shared" si="50"/>
        <v>-27.429992999999968</v>
      </c>
      <c r="J774">
        <v>8670300</v>
      </c>
      <c r="K774">
        <v>-6.7708333333333301E-2</v>
      </c>
      <c r="L774">
        <v>-39</v>
      </c>
      <c r="M774">
        <f t="shared" si="51"/>
        <v>-4.9808414418141767E-2</v>
      </c>
      <c r="N774">
        <v>576</v>
      </c>
    </row>
    <row r="775" spans="1:14" x14ac:dyDescent="0.25">
      <c r="A775" s="1">
        <v>44224</v>
      </c>
      <c r="B775" s="1">
        <f t="shared" si="48"/>
        <v>2021</v>
      </c>
      <c r="C775" s="1" t="str">
        <f t="shared" si="49"/>
        <v>Jan</v>
      </c>
      <c r="D775">
        <v>535.88000499999998</v>
      </c>
      <c r="E775">
        <v>553.15002400000003</v>
      </c>
      <c r="F775">
        <v>530.73999000000003</v>
      </c>
      <c r="G775">
        <v>538.59997599999997</v>
      </c>
      <c r="H775">
        <v>538.59997599999997</v>
      </c>
      <c r="I775">
        <f t="shared" si="50"/>
        <v>2.7199709999999868</v>
      </c>
      <c r="J775">
        <v>5969000</v>
      </c>
      <c r="K775">
        <v>-6.3636363636363602E-2</v>
      </c>
      <c r="L775">
        <v>-28</v>
      </c>
      <c r="M775">
        <f t="shared" si="51"/>
        <v>5.0757090666220823E-3</v>
      </c>
      <c r="N775">
        <v>440</v>
      </c>
    </row>
    <row r="776" spans="1:14" x14ac:dyDescent="0.25">
      <c r="A776" s="1">
        <v>44225</v>
      </c>
      <c r="B776" s="1">
        <f t="shared" si="48"/>
        <v>2021</v>
      </c>
      <c r="C776" s="1" t="str">
        <f t="shared" si="49"/>
        <v>Jan</v>
      </c>
      <c r="D776">
        <v>538</v>
      </c>
      <c r="E776">
        <v>541</v>
      </c>
      <c r="F776">
        <v>530.17999299999997</v>
      </c>
      <c r="G776">
        <v>532.39001499999995</v>
      </c>
      <c r="H776">
        <v>532.39001499999995</v>
      </c>
      <c r="I776">
        <f t="shared" si="50"/>
        <v>-5.6099850000000515</v>
      </c>
      <c r="J776">
        <v>4325300</v>
      </c>
      <c r="K776">
        <v>-0.10670731707316999</v>
      </c>
      <c r="L776">
        <v>-35</v>
      </c>
      <c r="M776">
        <f t="shared" si="51"/>
        <v>-1.0427481412639501E-2</v>
      </c>
      <c r="N776">
        <v>328</v>
      </c>
    </row>
    <row r="777" spans="1:14" x14ac:dyDescent="0.25">
      <c r="A777" s="1">
        <v>44228</v>
      </c>
      <c r="B777" s="1">
        <f t="shared" si="48"/>
        <v>2021</v>
      </c>
      <c r="C777" s="1" t="str">
        <f t="shared" si="49"/>
        <v>Feb</v>
      </c>
      <c r="D777">
        <v>536.78997800000002</v>
      </c>
      <c r="E777">
        <v>545.05999799999995</v>
      </c>
      <c r="F777">
        <v>531.72997999999995</v>
      </c>
      <c r="G777">
        <v>539.03997800000002</v>
      </c>
      <c r="H777">
        <v>539.03997800000002</v>
      </c>
      <c r="I777">
        <f t="shared" si="50"/>
        <v>2.25</v>
      </c>
      <c r="J777">
        <v>3547500</v>
      </c>
      <c r="K777">
        <v>-4.8387096774193498E-2</v>
      </c>
      <c r="L777">
        <v>-15</v>
      </c>
      <c r="M777">
        <f t="shared" si="51"/>
        <v>4.191583472521538E-3</v>
      </c>
      <c r="N777">
        <v>310</v>
      </c>
    </row>
    <row r="778" spans="1:14" x14ac:dyDescent="0.25">
      <c r="A778" s="1">
        <v>44229</v>
      </c>
      <c r="B778" s="1">
        <f t="shared" si="48"/>
        <v>2021</v>
      </c>
      <c r="C778" s="1" t="str">
        <f t="shared" si="49"/>
        <v>Feb</v>
      </c>
      <c r="D778">
        <v>542.01000999999997</v>
      </c>
      <c r="E778">
        <v>555.47997999999995</v>
      </c>
      <c r="F778">
        <v>538.92999299999997</v>
      </c>
      <c r="G778">
        <v>548.15997300000004</v>
      </c>
      <c r="H778">
        <v>548.15997300000004</v>
      </c>
      <c r="I778">
        <f t="shared" si="50"/>
        <v>6.1499630000000707</v>
      </c>
      <c r="J778">
        <v>3767600</v>
      </c>
      <c r="K778">
        <v>7.3891625615762997E-3</v>
      </c>
      <c r="L778">
        <v>3</v>
      </c>
      <c r="M778">
        <f t="shared" si="51"/>
        <v>1.1346585647006909E-2</v>
      </c>
      <c r="N778">
        <v>406</v>
      </c>
    </row>
    <row r="779" spans="1:14" x14ac:dyDescent="0.25">
      <c r="A779" s="1">
        <v>44230</v>
      </c>
      <c r="B779" s="1">
        <f t="shared" si="48"/>
        <v>2021</v>
      </c>
      <c r="C779" s="1" t="str">
        <f t="shared" si="49"/>
        <v>Feb</v>
      </c>
      <c r="D779">
        <v>550.169983</v>
      </c>
      <c r="E779">
        <v>550.47997999999995</v>
      </c>
      <c r="F779">
        <v>538.23999000000003</v>
      </c>
      <c r="G779">
        <v>539.45001200000002</v>
      </c>
      <c r="H779">
        <v>539.45001200000002</v>
      </c>
      <c r="I779">
        <f t="shared" si="50"/>
        <v>-10.719970999999987</v>
      </c>
      <c r="J779">
        <v>3172300</v>
      </c>
      <c r="K779">
        <v>-3.2573289902280002E-3</v>
      </c>
      <c r="L779">
        <v>-1</v>
      </c>
      <c r="M779">
        <f t="shared" si="51"/>
        <v>-1.9484834380722633E-2</v>
      </c>
      <c r="N779">
        <v>307</v>
      </c>
    </row>
    <row r="780" spans="1:14" x14ac:dyDescent="0.25">
      <c r="A780" s="1">
        <v>44231</v>
      </c>
      <c r="B780" s="1">
        <f t="shared" si="48"/>
        <v>2021</v>
      </c>
      <c r="C780" s="1" t="str">
        <f t="shared" si="49"/>
        <v>Feb</v>
      </c>
      <c r="D780">
        <v>539.80999799999995</v>
      </c>
      <c r="E780">
        <v>559.47997999999995</v>
      </c>
      <c r="F780">
        <v>537.51000999999997</v>
      </c>
      <c r="G780">
        <v>552.15997300000004</v>
      </c>
      <c r="H780">
        <v>552.15997300000004</v>
      </c>
      <c r="I780">
        <f t="shared" si="50"/>
        <v>12.349975000000086</v>
      </c>
      <c r="J780">
        <v>5164500</v>
      </c>
      <c r="K780">
        <v>-1.8691588785045999E-3</v>
      </c>
      <c r="L780">
        <v>-1</v>
      </c>
      <c r="M780">
        <f t="shared" si="51"/>
        <v>2.28783739570531E-2</v>
      </c>
      <c r="N780">
        <v>535</v>
      </c>
    </row>
    <row r="781" spans="1:14" x14ac:dyDescent="0.25">
      <c r="A781" s="1">
        <v>44232</v>
      </c>
      <c r="B781" s="1">
        <f t="shared" si="48"/>
        <v>2021</v>
      </c>
      <c r="C781" s="1" t="str">
        <f t="shared" si="49"/>
        <v>Feb</v>
      </c>
      <c r="D781">
        <v>552.26000999999997</v>
      </c>
      <c r="E781">
        <v>554.44000200000005</v>
      </c>
      <c r="F781">
        <v>545.47997999999995</v>
      </c>
      <c r="G781">
        <v>550.78997800000002</v>
      </c>
      <c r="H781">
        <v>550.78997800000002</v>
      </c>
      <c r="I781">
        <f t="shared" si="50"/>
        <v>-1.4700319999999465</v>
      </c>
      <c r="J781">
        <v>2376200</v>
      </c>
      <c r="K781">
        <v>-1.46520146520146E-2</v>
      </c>
      <c r="L781">
        <v>-4</v>
      </c>
      <c r="M781">
        <f t="shared" si="51"/>
        <v>-2.6618476322411008E-3</v>
      </c>
      <c r="N781">
        <v>273</v>
      </c>
    </row>
    <row r="782" spans="1:14" x14ac:dyDescent="0.25">
      <c r="A782" s="1">
        <v>44235</v>
      </c>
      <c r="B782" s="1">
        <f t="shared" si="48"/>
        <v>2021</v>
      </c>
      <c r="C782" s="1" t="str">
        <f t="shared" si="49"/>
        <v>Feb</v>
      </c>
      <c r="D782">
        <v>555</v>
      </c>
      <c r="E782">
        <v>555</v>
      </c>
      <c r="F782">
        <v>543.70001200000002</v>
      </c>
      <c r="G782">
        <v>547.919983</v>
      </c>
      <c r="H782">
        <v>547.919983</v>
      </c>
      <c r="I782">
        <f t="shared" si="50"/>
        <v>-7.080016999999998</v>
      </c>
      <c r="J782">
        <v>2791700</v>
      </c>
      <c r="K782">
        <v>2.5236593059936901E-2</v>
      </c>
      <c r="L782">
        <v>8</v>
      </c>
      <c r="M782">
        <f t="shared" si="51"/>
        <v>-1.2756787387387385E-2</v>
      </c>
      <c r="N782">
        <v>317</v>
      </c>
    </row>
    <row r="783" spans="1:14" x14ac:dyDescent="0.25">
      <c r="A783" s="1">
        <v>44236</v>
      </c>
      <c r="B783" s="1">
        <f t="shared" si="48"/>
        <v>2021</v>
      </c>
      <c r="C783" s="1" t="str">
        <f t="shared" si="49"/>
        <v>Feb</v>
      </c>
      <c r="D783">
        <v>546</v>
      </c>
      <c r="E783">
        <v>566</v>
      </c>
      <c r="F783">
        <v>543</v>
      </c>
      <c r="G783">
        <v>559.07000700000003</v>
      </c>
      <c r="H783">
        <v>559.07000700000003</v>
      </c>
      <c r="I783">
        <f t="shared" si="50"/>
        <v>13.070007000000032</v>
      </c>
      <c r="J783">
        <v>3703500</v>
      </c>
      <c r="K783">
        <v>4.5851528384279402E-2</v>
      </c>
      <c r="L783">
        <v>21</v>
      </c>
      <c r="M783">
        <f t="shared" si="51"/>
        <v>2.3937741758241819E-2</v>
      </c>
      <c r="N783">
        <v>458</v>
      </c>
    </row>
    <row r="784" spans="1:14" x14ac:dyDescent="0.25">
      <c r="A784" s="1">
        <v>44237</v>
      </c>
      <c r="B784" s="1">
        <f t="shared" si="48"/>
        <v>2021</v>
      </c>
      <c r="C784" s="1" t="str">
        <f t="shared" si="49"/>
        <v>Feb</v>
      </c>
      <c r="D784">
        <v>562.5</v>
      </c>
      <c r="E784">
        <v>566.65002400000003</v>
      </c>
      <c r="F784">
        <v>553.46002199999998</v>
      </c>
      <c r="G784">
        <v>563.59002699999996</v>
      </c>
      <c r="H784">
        <v>563.59002699999996</v>
      </c>
      <c r="I784">
        <f t="shared" si="50"/>
        <v>1.0900269999999637</v>
      </c>
      <c r="J784">
        <v>3991300</v>
      </c>
      <c r="K784">
        <v>3.9179104477611901E-2</v>
      </c>
      <c r="L784">
        <v>21</v>
      </c>
      <c r="M784">
        <f t="shared" si="51"/>
        <v>1.9378257777777131E-3</v>
      </c>
      <c r="N784">
        <v>536</v>
      </c>
    </row>
    <row r="785" spans="1:14" x14ac:dyDescent="0.25">
      <c r="A785" s="1">
        <v>44238</v>
      </c>
      <c r="B785" s="1">
        <f t="shared" si="48"/>
        <v>2021</v>
      </c>
      <c r="C785" s="1" t="str">
        <f t="shared" si="49"/>
        <v>Feb</v>
      </c>
      <c r="D785">
        <v>564.44000200000005</v>
      </c>
      <c r="E785">
        <v>565.92999299999997</v>
      </c>
      <c r="F785">
        <v>554.21997099999999</v>
      </c>
      <c r="G785">
        <v>557.59002699999996</v>
      </c>
      <c r="H785">
        <v>557.59002699999996</v>
      </c>
      <c r="I785">
        <f t="shared" si="50"/>
        <v>-6.8499750000000859</v>
      </c>
      <c r="J785">
        <v>2730600</v>
      </c>
      <c r="K785">
        <v>-3.34075723830735E-2</v>
      </c>
      <c r="L785">
        <v>-15</v>
      </c>
      <c r="M785">
        <f t="shared" si="51"/>
        <v>-1.213587799540842E-2</v>
      </c>
      <c r="N785">
        <v>449</v>
      </c>
    </row>
    <row r="786" spans="1:14" x14ac:dyDescent="0.25">
      <c r="A786" s="1">
        <v>44239</v>
      </c>
      <c r="B786" s="1">
        <f t="shared" si="48"/>
        <v>2021</v>
      </c>
      <c r="C786" s="1" t="str">
        <f t="shared" si="49"/>
        <v>Feb</v>
      </c>
      <c r="D786">
        <v>556.94000200000005</v>
      </c>
      <c r="E786">
        <v>561.25</v>
      </c>
      <c r="F786">
        <v>550.84997599999997</v>
      </c>
      <c r="G786">
        <v>556.52002000000005</v>
      </c>
      <c r="H786">
        <v>556.52002000000005</v>
      </c>
      <c r="I786">
        <f t="shared" si="50"/>
        <v>-0.41998200000000452</v>
      </c>
      <c r="J786">
        <v>2197100</v>
      </c>
      <c r="K786">
        <v>-3.1347962382445103E-2</v>
      </c>
      <c r="L786">
        <v>-10</v>
      </c>
      <c r="M786">
        <f t="shared" si="51"/>
        <v>-7.5408840897013617E-4</v>
      </c>
      <c r="N786">
        <v>319</v>
      </c>
    </row>
    <row r="787" spans="1:14" x14ac:dyDescent="0.25">
      <c r="A787" s="1">
        <v>44243</v>
      </c>
      <c r="B787" s="1">
        <f t="shared" si="48"/>
        <v>2021</v>
      </c>
      <c r="C787" s="1" t="str">
        <f t="shared" si="49"/>
        <v>Feb</v>
      </c>
      <c r="D787">
        <v>557.28997800000002</v>
      </c>
      <c r="E787">
        <v>563.63000499999998</v>
      </c>
      <c r="F787">
        <v>552.72997999999995</v>
      </c>
      <c r="G787">
        <v>557.28002900000001</v>
      </c>
      <c r="H787">
        <v>557.28002900000001</v>
      </c>
      <c r="I787">
        <f t="shared" si="50"/>
        <v>-9.9490000000059808E-3</v>
      </c>
      <c r="J787">
        <v>2624100</v>
      </c>
      <c r="K787">
        <v>-3.59281437125748E-2</v>
      </c>
      <c r="L787">
        <v>-12</v>
      </c>
      <c r="M787">
        <f t="shared" si="51"/>
        <v>-1.785246531026973E-5</v>
      </c>
      <c r="N787">
        <v>334</v>
      </c>
    </row>
    <row r="788" spans="1:14" x14ac:dyDescent="0.25">
      <c r="A788" s="1">
        <v>44244</v>
      </c>
      <c r="B788" s="1">
        <f t="shared" si="48"/>
        <v>2021</v>
      </c>
      <c r="C788" s="1" t="str">
        <f t="shared" si="49"/>
        <v>Feb</v>
      </c>
      <c r="D788">
        <v>550.98999000000003</v>
      </c>
      <c r="E788">
        <v>555.25</v>
      </c>
      <c r="F788">
        <v>543.03002900000001</v>
      </c>
      <c r="G788">
        <v>551.34002699999996</v>
      </c>
      <c r="H788">
        <v>551.34002699999996</v>
      </c>
      <c r="I788">
        <f t="shared" si="50"/>
        <v>0.35003699999992932</v>
      </c>
      <c r="J788">
        <v>2069600</v>
      </c>
      <c r="K788">
        <v>-2.6058631921824098E-2</v>
      </c>
      <c r="L788">
        <v>-8</v>
      </c>
      <c r="M788">
        <f t="shared" si="51"/>
        <v>6.3528740331549277E-4</v>
      </c>
      <c r="N788">
        <v>307</v>
      </c>
    </row>
    <row r="789" spans="1:14" x14ac:dyDescent="0.25">
      <c r="A789" s="1">
        <v>44245</v>
      </c>
      <c r="B789" s="1">
        <f t="shared" si="48"/>
        <v>2021</v>
      </c>
      <c r="C789" s="1" t="str">
        <f t="shared" si="49"/>
        <v>Feb</v>
      </c>
      <c r="D789">
        <v>549</v>
      </c>
      <c r="E789">
        <v>550</v>
      </c>
      <c r="F789">
        <v>538.22997999999995</v>
      </c>
      <c r="G789">
        <v>548.21997099999999</v>
      </c>
      <c r="H789">
        <v>548.21997099999999</v>
      </c>
      <c r="I789">
        <f t="shared" si="50"/>
        <v>-0.78002900000001318</v>
      </c>
      <c r="J789">
        <v>2456200</v>
      </c>
      <c r="K789">
        <v>-8.8803088803088806E-2</v>
      </c>
      <c r="L789">
        <v>-23</v>
      </c>
      <c r="M789">
        <f t="shared" si="51"/>
        <v>-1.4208178506375467E-3</v>
      </c>
      <c r="N789">
        <v>259</v>
      </c>
    </row>
    <row r="790" spans="1:14" x14ac:dyDescent="0.25">
      <c r="A790" s="1">
        <v>44246</v>
      </c>
      <c r="B790" s="1">
        <f t="shared" si="48"/>
        <v>2021</v>
      </c>
      <c r="C790" s="1" t="str">
        <f t="shared" si="49"/>
        <v>Feb</v>
      </c>
      <c r="D790">
        <v>548</v>
      </c>
      <c r="E790">
        <v>548.98999000000003</v>
      </c>
      <c r="F790">
        <v>538.80999799999995</v>
      </c>
      <c r="G790">
        <v>540.21997099999999</v>
      </c>
      <c r="H790">
        <v>540.21997099999999</v>
      </c>
      <c r="I790">
        <f t="shared" si="50"/>
        <v>-7.7800290000000132</v>
      </c>
      <c r="J790">
        <v>2841500</v>
      </c>
      <c r="K790">
        <v>-7.3800738007380004E-2</v>
      </c>
      <c r="L790">
        <v>-20</v>
      </c>
      <c r="M790">
        <f t="shared" si="51"/>
        <v>-1.4197133211678856E-2</v>
      </c>
      <c r="N790">
        <v>271</v>
      </c>
    </row>
    <row r="791" spans="1:14" x14ac:dyDescent="0.25">
      <c r="A791" s="1">
        <v>44249</v>
      </c>
      <c r="B791" s="1">
        <f t="shared" si="48"/>
        <v>2021</v>
      </c>
      <c r="C791" s="1" t="str">
        <f t="shared" si="49"/>
        <v>Feb</v>
      </c>
      <c r="D791">
        <v>534.98999000000003</v>
      </c>
      <c r="E791">
        <v>541.78997800000002</v>
      </c>
      <c r="F791">
        <v>530.78997800000002</v>
      </c>
      <c r="G791">
        <v>533.78002900000001</v>
      </c>
      <c r="H791">
        <v>533.78002900000001</v>
      </c>
      <c r="I791">
        <f t="shared" si="50"/>
        <v>-1.2099610000000212</v>
      </c>
      <c r="J791">
        <v>3078600</v>
      </c>
      <c r="K791">
        <v>-4.2168674698795101E-2</v>
      </c>
      <c r="L791">
        <v>-14</v>
      </c>
      <c r="M791">
        <f t="shared" si="51"/>
        <v>-2.2616516619311344E-3</v>
      </c>
      <c r="N791">
        <v>332</v>
      </c>
    </row>
    <row r="792" spans="1:14" x14ac:dyDescent="0.25">
      <c r="A792" s="1">
        <v>44250</v>
      </c>
      <c r="B792" s="1">
        <f t="shared" si="48"/>
        <v>2021</v>
      </c>
      <c r="C792" s="1" t="str">
        <f t="shared" si="49"/>
        <v>Feb</v>
      </c>
      <c r="D792">
        <v>525</v>
      </c>
      <c r="E792">
        <v>548.53997800000002</v>
      </c>
      <c r="F792">
        <v>518.28002900000001</v>
      </c>
      <c r="G792">
        <v>546.15002400000003</v>
      </c>
      <c r="H792">
        <v>546.15002400000003</v>
      </c>
      <c r="I792">
        <f t="shared" si="50"/>
        <v>21.15002400000003</v>
      </c>
      <c r="J792">
        <v>4136500</v>
      </c>
      <c r="K792">
        <v>1.42566191446028E-2</v>
      </c>
      <c r="L792">
        <v>7</v>
      </c>
      <c r="M792">
        <f t="shared" si="51"/>
        <v>4.0285760000000059E-2</v>
      </c>
      <c r="N792">
        <v>491</v>
      </c>
    </row>
    <row r="793" spans="1:14" x14ac:dyDescent="0.25">
      <c r="A793" s="1">
        <v>44251</v>
      </c>
      <c r="B793" s="1">
        <f t="shared" si="48"/>
        <v>2021</v>
      </c>
      <c r="C793" s="1" t="str">
        <f t="shared" si="49"/>
        <v>Feb</v>
      </c>
      <c r="D793">
        <v>539.79998799999998</v>
      </c>
      <c r="E793">
        <v>556.84997599999997</v>
      </c>
      <c r="F793">
        <v>539.07000700000003</v>
      </c>
      <c r="G793">
        <v>553.40997300000004</v>
      </c>
      <c r="H793">
        <v>553.40997300000004</v>
      </c>
      <c r="I793">
        <f t="shared" si="50"/>
        <v>13.609985000000052</v>
      </c>
      <c r="J793">
        <v>3245000</v>
      </c>
      <c r="K793">
        <v>-9.5846645367411998E-3</v>
      </c>
      <c r="L793">
        <v>-3</v>
      </c>
      <c r="M793">
        <f t="shared" si="51"/>
        <v>2.5213014639785526E-2</v>
      </c>
      <c r="N793">
        <v>313</v>
      </c>
    </row>
    <row r="794" spans="1:14" x14ac:dyDescent="0.25">
      <c r="A794" s="1">
        <v>44252</v>
      </c>
      <c r="B794" s="1">
        <f t="shared" si="48"/>
        <v>2021</v>
      </c>
      <c r="C794" s="1" t="str">
        <f t="shared" si="49"/>
        <v>Feb</v>
      </c>
      <c r="D794">
        <v>550.27002000000005</v>
      </c>
      <c r="E794">
        <v>556.47997999999995</v>
      </c>
      <c r="F794">
        <v>535.75</v>
      </c>
      <c r="G794">
        <v>546.70001200000002</v>
      </c>
      <c r="H794">
        <v>546.70001200000002</v>
      </c>
      <c r="I794">
        <f t="shared" si="50"/>
        <v>-3.5700080000000298</v>
      </c>
      <c r="J794">
        <v>4252900</v>
      </c>
      <c r="K794">
        <v>-0.11516853932584201</v>
      </c>
      <c r="L794">
        <v>-41</v>
      </c>
      <c r="M794">
        <f t="shared" si="51"/>
        <v>-6.4877385106316158E-3</v>
      </c>
      <c r="N794">
        <v>356</v>
      </c>
    </row>
    <row r="795" spans="1:14" x14ac:dyDescent="0.25">
      <c r="A795" s="1">
        <v>44253</v>
      </c>
      <c r="B795" s="1">
        <f t="shared" si="48"/>
        <v>2021</v>
      </c>
      <c r="C795" s="1" t="str">
        <f t="shared" si="49"/>
        <v>Feb</v>
      </c>
      <c r="D795">
        <v>546.51000999999997</v>
      </c>
      <c r="E795">
        <v>553.09002699999996</v>
      </c>
      <c r="F795">
        <v>538</v>
      </c>
      <c r="G795">
        <v>538.84997599999997</v>
      </c>
      <c r="H795">
        <v>538.84997599999997</v>
      </c>
      <c r="I795">
        <f t="shared" si="50"/>
        <v>-7.660033999999996</v>
      </c>
      <c r="J795">
        <v>3755600</v>
      </c>
      <c r="K795">
        <v>-7.3015873015873006E-2</v>
      </c>
      <c r="L795">
        <v>-23</v>
      </c>
      <c r="M795">
        <f t="shared" si="51"/>
        <v>-1.4016273919667083E-2</v>
      </c>
      <c r="N795">
        <v>315</v>
      </c>
    </row>
    <row r="796" spans="1:14" x14ac:dyDescent="0.25">
      <c r="A796" s="1">
        <v>44256</v>
      </c>
      <c r="B796" s="1">
        <f t="shared" si="48"/>
        <v>2021</v>
      </c>
      <c r="C796" s="1" t="str">
        <f t="shared" si="49"/>
        <v>Mar</v>
      </c>
      <c r="D796">
        <v>545.57000700000003</v>
      </c>
      <c r="E796">
        <v>552.14001499999995</v>
      </c>
      <c r="F796">
        <v>542</v>
      </c>
      <c r="G796">
        <v>550.64001499999995</v>
      </c>
      <c r="H796">
        <v>550.64001499999995</v>
      </c>
      <c r="I796">
        <f t="shared" si="50"/>
        <v>5.0700079999999161</v>
      </c>
      <c r="J796">
        <v>3041400</v>
      </c>
      <c r="K796">
        <v>-1.39372822299651E-2</v>
      </c>
      <c r="L796">
        <v>-4</v>
      </c>
      <c r="M796">
        <f t="shared" si="51"/>
        <v>9.2930475190142105E-3</v>
      </c>
      <c r="N796">
        <v>287</v>
      </c>
    </row>
    <row r="797" spans="1:14" x14ac:dyDescent="0.25">
      <c r="A797" s="1">
        <v>44257</v>
      </c>
      <c r="B797" s="1">
        <f t="shared" si="48"/>
        <v>2021</v>
      </c>
      <c r="C797" s="1" t="str">
        <f t="shared" si="49"/>
        <v>Mar</v>
      </c>
      <c r="D797">
        <v>553.34002699999996</v>
      </c>
      <c r="E797">
        <v>556.98999000000003</v>
      </c>
      <c r="F797">
        <v>546.02002000000005</v>
      </c>
      <c r="G797">
        <v>547.82000700000003</v>
      </c>
      <c r="H797">
        <v>547.82000700000003</v>
      </c>
      <c r="I797">
        <f t="shared" si="50"/>
        <v>-5.5200199999999313</v>
      </c>
      <c r="J797">
        <v>3042200</v>
      </c>
      <c r="K797">
        <v>3.5971223021581998E-3</v>
      </c>
      <c r="L797">
        <v>1</v>
      </c>
      <c r="M797">
        <f t="shared" si="51"/>
        <v>-9.97581908167278E-3</v>
      </c>
      <c r="N797">
        <v>278</v>
      </c>
    </row>
    <row r="798" spans="1:14" x14ac:dyDescent="0.25">
      <c r="A798" s="1">
        <v>44258</v>
      </c>
      <c r="B798" s="1">
        <f t="shared" si="48"/>
        <v>2021</v>
      </c>
      <c r="C798" s="1" t="str">
        <f t="shared" si="49"/>
        <v>Mar</v>
      </c>
      <c r="D798">
        <v>545.92999299999997</v>
      </c>
      <c r="E798">
        <v>548.01000999999997</v>
      </c>
      <c r="F798">
        <v>517.80999799999995</v>
      </c>
      <c r="G798">
        <v>520.70001200000002</v>
      </c>
      <c r="H798">
        <v>520.70001200000002</v>
      </c>
      <c r="I798">
        <f t="shared" si="50"/>
        <v>-25.229980999999952</v>
      </c>
      <c r="J798">
        <v>5362400</v>
      </c>
      <c r="K798">
        <v>-9.2307692307692299E-2</v>
      </c>
      <c r="L798">
        <v>-36</v>
      </c>
      <c r="M798">
        <f t="shared" si="51"/>
        <v>-4.6214681961978143E-2</v>
      </c>
      <c r="N798">
        <v>390</v>
      </c>
    </row>
    <row r="799" spans="1:14" x14ac:dyDescent="0.25">
      <c r="A799" s="1">
        <v>44259</v>
      </c>
      <c r="B799" s="1">
        <f t="shared" si="48"/>
        <v>2021</v>
      </c>
      <c r="C799" s="1" t="str">
        <f t="shared" si="49"/>
        <v>Mar</v>
      </c>
      <c r="D799">
        <v>521.5</v>
      </c>
      <c r="E799">
        <v>531.5</v>
      </c>
      <c r="F799">
        <v>507.67999300000002</v>
      </c>
      <c r="G799">
        <v>511.290009</v>
      </c>
      <c r="H799">
        <v>511.290009</v>
      </c>
      <c r="I799">
        <f t="shared" si="50"/>
        <v>-10.209991000000002</v>
      </c>
      <c r="J799">
        <v>5034800</v>
      </c>
      <c r="K799">
        <v>-4.5070422535211201E-2</v>
      </c>
      <c r="L799">
        <v>-16</v>
      </c>
      <c r="M799">
        <f t="shared" si="51"/>
        <v>-1.9578122722914672E-2</v>
      </c>
      <c r="N799">
        <v>355</v>
      </c>
    </row>
    <row r="800" spans="1:14" x14ac:dyDescent="0.25">
      <c r="A800" s="1">
        <v>44260</v>
      </c>
      <c r="B800" s="1">
        <f t="shared" si="48"/>
        <v>2021</v>
      </c>
      <c r="C800" s="1" t="str">
        <f t="shared" si="49"/>
        <v>Mar</v>
      </c>
      <c r="D800">
        <v>511.98001099999999</v>
      </c>
      <c r="E800">
        <v>517.76000999999997</v>
      </c>
      <c r="F800">
        <v>498.790009</v>
      </c>
      <c r="G800">
        <v>516.39001499999995</v>
      </c>
      <c r="H800">
        <v>516.39001499999995</v>
      </c>
      <c r="I800">
        <f t="shared" si="50"/>
        <v>4.4100039999999581</v>
      </c>
      <c r="J800">
        <v>5070000</v>
      </c>
      <c r="K800">
        <v>-5.0938337801608502E-2</v>
      </c>
      <c r="L800">
        <v>-19</v>
      </c>
      <c r="M800">
        <f t="shared" si="51"/>
        <v>8.6136253471816859E-3</v>
      </c>
      <c r="N800">
        <v>373</v>
      </c>
    </row>
    <row r="801" spans="1:14" x14ac:dyDescent="0.25">
      <c r="A801" s="1">
        <v>44263</v>
      </c>
      <c r="B801" s="1">
        <f t="shared" si="48"/>
        <v>2021</v>
      </c>
      <c r="C801" s="1" t="str">
        <f t="shared" si="49"/>
        <v>Mar</v>
      </c>
      <c r="D801">
        <v>514.46002199999998</v>
      </c>
      <c r="E801">
        <v>518.84002699999996</v>
      </c>
      <c r="F801">
        <v>492.85000600000001</v>
      </c>
      <c r="G801">
        <v>493.32998700000002</v>
      </c>
      <c r="H801">
        <v>493.32998700000002</v>
      </c>
      <c r="I801">
        <f t="shared" si="50"/>
        <v>-21.130034999999964</v>
      </c>
      <c r="J801">
        <v>3981800</v>
      </c>
      <c r="K801">
        <v>-9.4861660079051294E-2</v>
      </c>
      <c r="L801">
        <v>-24</v>
      </c>
      <c r="M801">
        <f t="shared" si="51"/>
        <v>-4.1072258477647006E-2</v>
      </c>
      <c r="N801">
        <v>253</v>
      </c>
    </row>
    <row r="802" spans="1:14" x14ac:dyDescent="0.25">
      <c r="A802" s="1">
        <v>44264</v>
      </c>
      <c r="B802" s="1">
        <f t="shared" si="48"/>
        <v>2021</v>
      </c>
      <c r="C802" s="1" t="str">
        <f t="shared" si="49"/>
        <v>Mar</v>
      </c>
      <c r="D802">
        <v>507.30999800000001</v>
      </c>
      <c r="E802">
        <v>513.10998500000005</v>
      </c>
      <c r="F802">
        <v>503.82000699999998</v>
      </c>
      <c r="G802">
        <v>506.44000199999999</v>
      </c>
      <c r="H802">
        <v>506.44000199999999</v>
      </c>
      <c r="I802">
        <f t="shared" si="50"/>
        <v>-0.86999600000001465</v>
      </c>
      <c r="J802">
        <v>3470000</v>
      </c>
      <c r="K802">
        <v>-8.0701754385964899E-2</v>
      </c>
      <c r="L802">
        <v>-23</v>
      </c>
      <c r="M802">
        <f t="shared" si="51"/>
        <v>-1.7149198782398423E-3</v>
      </c>
      <c r="N802">
        <v>285</v>
      </c>
    </row>
    <row r="803" spans="1:14" x14ac:dyDescent="0.25">
      <c r="A803" s="1">
        <v>44265</v>
      </c>
      <c r="B803" s="1">
        <f t="shared" si="48"/>
        <v>2021</v>
      </c>
      <c r="C803" s="1" t="str">
        <f t="shared" si="49"/>
        <v>Mar</v>
      </c>
      <c r="D803">
        <v>513.5</v>
      </c>
      <c r="E803">
        <v>518.96997099999999</v>
      </c>
      <c r="F803">
        <v>504.25</v>
      </c>
      <c r="G803">
        <v>504.540009</v>
      </c>
      <c r="H803">
        <v>504.540009</v>
      </c>
      <c r="I803">
        <f t="shared" si="50"/>
        <v>-8.9599910000000023</v>
      </c>
      <c r="J803">
        <v>3771500</v>
      </c>
      <c r="K803">
        <v>-3.1690140845070401E-2</v>
      </c>
      <c r="L803">
        <v>-9</v>
      </c>
      <c r="M803">
        <f t="shared" si="51"/>
        <v>-1.7448862706913343E-2</v>
      </c>
      <c r="N803">
        <v>284</v>
      </c>
    </row>
    <row r="804" spans="1:14" x14ac:dyDescent="0.25">
      <c r="A804" s="1">
        <v>44266</v>
      </c>
      <c r="B804" s="1">
        <f t="shared" si="48"/>
        <v>2021</v>
      </c>
      <c r="C804" s="1" t="str">
        <f t="shared" si="49"/>
        <v>Mar</v>
      </c>
      <c r="D804">
        <v>512.20001200000002</v>
      </c>
      <c r="E804">
        <v>530.23999000000003</v>
      </c>
      <c r="F804">
        <v>510.709991</v>
      </c>
      <c r="G804">
        <v>523.05999799999995</v>
      </c>
      <c r="H804">
        <v>523.05999799999995</v>
      </c>
      <c r="I804">
        <f t="shared" si="50"/>
        <v>10.859985999999935</v>
      </c>
      <c r="J804">
        <v>4714500</v>
      </c>
      <c r="K804">
        <v>-0.174840085287846</v>
      </c>
      <c r="L804">
        <v>-82</v>
      </c>
      <c r="M804">
        <f t="shared" si="51"/>
        <v>2.1202627382991814E-2</v>
      </c>
      <c r="N804">
        <v>469</v>
      </c>
    </row>
    <row r="805" spans="1:14" x14ac:dyDescent="0.25">
      <c r="A805" s="1">
        <v>44267</v>
      </c>
      <c r="B805" s="1">
        <f t="shared" si="48"/>
        <v>2021</v>
      </c>
      <c r="C805" s="1" t="str">
        <f t="shared" si="49"/>
        <v>Mar</v>
      </c>
      <c r="D805">
        <v>512.5</v>
      </c>
      <c r="E805">
        <v>526.51000999999997</v>
      </c>
      <c r="F805">
        <v>506.58999599999999</v>
      </c>
      <c r="G805">
        <v>518.02002000000005</v>
      </c>
      <c r="H805">
        <v>518.02002000000005</v>
      </c>
      <c r="I805">
        <f t="shared" si="50"/>
        <v>5.520020000000045</v>
      </c>
      <c r="J805">
        <v>3981700</v>
      </c>
      <c r="K805">
        <v>-0.13625304136253</v>
      </c>
      <c r="L805">
        <v>-56</v>
      </c>
      <c r="M805">
        <f t="shared" si="51"/>
        <v>1.0770770731707405E-2</v>
      </c>
      <c r="N805">
        <v>411</v>
      </c>
    </row>
    <row r="806" spans="1:14" x14ac:dyDescent="0.25">
      <c r="A806" s="1">
        <v>44270</v>
      </c>
      <c r="B806" s="1">
        <f t="shared" si="48"/>
        <v>2021</v>
      </c>
      <c r="C806" s="1" t="str">
        <f t="shared" si="49"/>
        <v>Mar</v>
      </c>
      <c r="D806">
        <v>516.32000700000003</v>
      </c>
      <c r="E806">
        <v>520.72997999999995</v>
      </c>
      <c r="F806">
        <v>508.02999899999998</v>
      </c>
      <c r="G806">
        <v>520.25</v>
      </c>
      <c r="H806">
        <v>520.25</v>
      </c>
      <c r="I806">
        <f t="shared" si="50"/>
        <v>3.9299929999999677</v>
      </c>
      <c r="J806">
        <v>3484300</v>
      </c>
      <c r="K806">
        <v>-4.3589743589743497E-2</v>
      </c>
      <c r="L806">
        <v>-17</v>
      </c>
      <c r="M806">
        <f t="shared" si="51"/>
        <v>7.6115450625951963E-3</v>
      </c>
      <c r="N806">
        <v>390</v>
      </c>
    </row>
    <row r="807" spans="1:14" x14ac:dyDescent="0.25">
      <c r="A807" s="1">
        <v>44271</v>
      </c>
      <c r="B807" s="1">
        <f t="shared" si="48"/>
        <v>2021</v>
      </c>
      <c r="C807" s="1" t="str">
        <f t="shared" si="49"/>
        <v>Mar</v>
      </c>
      <c r="D807">
        <v>524.46997099999999</v>
      </c>
      <c r="E807">
        <v>533.419983</v>
      </c>
      <c r="F807">
        <v>523.21002199999998</v>
      </c>
      <c r="G807">
        <v>524.03002900000001</v>
      </c>
      <c r="H807">
        <v>524.03002900000001</v>
      </c>
      <c r="I807">
        <f t="shared" si="50"/>
        <v>-0.43994199999997363</v>
      </c>
      <c r="J807">
        <v>3238900</v>
      </c>
      <c r="K807">
        <v>-2.5735294117646999E-2</v>
      </c>
      <c r="L807">
        <v>-7</v>
      </c>
      <c r="M807">
        <f t="shared" si="51"/>
        <v>-8.3883162874156939E-4</v>
      </c>
      <c r="N807">
        <v>272</v>
      </c>
    </row>
    <row r="808" spans="1:14" x14ac:dyDescent="0.25">
      <c r="A808" s="1">
        <v>44272</v>
      </c>
      <c r="B808" s="1">
        <f t="shared" si="48"/>
        <v>2021</v>
      </c>
      <c r="C808" s="1" t="str">
        <f t="shared" si="49"/>
        <v>Mar</v>
      </c>
      <c r="D808">
        <v>522</v>
      </c>
      <c r="E808">
        <v>528.36999500000002</v>
      </c>
      <c r="F808">
        <v>514.29998799999998</v>
      </c>
      <c r="G808">
        <v>524.44000200000005</v>
      </c>
      <c r="H808">
        <v>524.44000200000005</v>
      </c>
      <c r="I808">
        <f t="shared" si="50"/>
        <v>2.4400020000000495</v>
      </c>
      <c r="J808">
        <v>2817400</v>
      </c>
      <c r="K808">
        <v>-7.9439252336448593E-2</v>
      </c>
      <c r="L808">
        <v>-17</v>
      </c>
      <c r="M808">
        <f t="shared" si="51"/>
        <v>4.6743333333334278E-3</v>
      </c>
      <c r="N808">
        <v>214</v>
      </c>
    </row>
    <row r="809" spans="1:14" x14ac:dyDescent="0.25">
      <c r="A809" s="1">
        <v>44273</v>
      </c>
      <c r="B809" s="1">
        <f t="shared" si="48"/>
        <v>2021</v>
      </c>
      <c r="C809" s="1" t="str">
        <f t="shared" si="49"/>
        <v>Mar</v>
      </c>
      <c r="D809">
        <v>516.40002400000003</v>
      </c>
      <c r="E809">
        <v>517.90002400000003</v>
      </c>
      <c r="F809">
        <v>503.85000600000001</v>
      </c>
      <c r="G809">
        <v>504.790009</v>
      </c>
      <c r="H809">
        <v>504.790009</v>
      </c>
      <c r="I809">
        <f t="shared" si="50"/>
        <v>-11.610015000000033</v>
      </c>
      <c r="J809">
        <v>4094500</v>
      </c>
      <c r="K809">
        <v>-5.8823529411764698E-2</v>
      </c>
      <c r="L809">
        <v>-16</v>
      </c>
      <c r="M809">
        <f t="shared" si="51"/>
        <v>-2.2482599652241753E-2</v>
      </c>
      <c r="N809">
        <v>272</v>
      </c>
    </row>
    <row r="810" spans="1:14" x14ac:dyDescent="0.25">
      <c r="A810" s="1">
        <v>44274</v>
      </c>
      <c r="B810" s="1">
        <f t="shared" si="48"/>
        <v>2021</v>
      </c>
      <c r="C810" s="1" t="str">
        <f t="shared" si="49"/>
        <v>Mar</v>
      </c>
      <c r="D810">
        <v>504.959991</v>
      </c>
      <c r="E810">
        <v>513.19000200000005</v>
      </c>
      <c r="F810">
        <v>501.63000499999998</v>
      </c>
      <c r="G810">
        <v>512.17999299999997</v>
      </c>
      <c r="H810">
        <v>512.17999299999997</v>
      </c>
      <c r="I810">
        <f t="shared" si="50"/>
        <v>7.2200019999999654</v>
      </c>
      <c r="J810">
        <v>4386400</v>
      </c>
      <c r="K810">
        <v>-5.16431924882629E-2</v>
      </c>
      <c r="L810">
        <v>-11</v>
      </c>
      <c r="M810">
        <f t="shared" si="51"/>
        <v>1.4298166446220421E-2</v>
      </c>
      <c r="N810">
        <v>213</v>
      </c>
    </row>
    <row r="811" spans="1:14" x14ac:dyDescent="0.25">
      <c r="A811" s="1">
        <v>44277</v>
      </c>
      <c r="B811" s="1">
        <f t="shared" si="48"/>
        <v>2021</v>
      </c>
      <c r="C811" s="1" t="str">
        <f t="shared" si="49"/>
        <v>Mar</v>
      </c>
      <c r="D811">
        <v>509.13000499999998</v>
      </c>
      <c r="E811">
        <v>529.30999799999995</v>
      </c>
      <c r="F811">
        <v>509.13000499999998</v>
      </c>
      <c r="G811">
        <v>523.10998500000005</v>
      </c>
      <c r="H811">
        <v>523.10998500000005</v>
      </c>
      <c r="I811">
        <f t="shared" si="50"/>
        <v>13.979980000000069</v>
      </c>
      <c r="J811">
        <v>3360600</v>
      </c>
      <c r="K811">
        <v>-4.2016806722688996E-3</v>
      </c>
      <c r="L811">
        <v>-1</v>
      </c>
      <c r="M811">
        <f t="shared" si="51"/>
        <v>2.7458566304690821E-2</v>
      </c>
      <c r="N811">
        <v>238</v>
      </c>
    </row>
    <row r="812" spans="1:14" x14ac:dyDescent="0.25">
      <c r="A812" s="1">
        <v>44278</v>
      </c>
      <c r="B812" s="1">
        <f t="shared" si="48"/>
        <v>2021</v>
      </c>
      <c r="C812" s="1" t="str">
        <f t="shared" si="49"/>
        <v>Mar</v>
      </c>
      <c r="D812">
        <v>529.86999500000002</v>
      </c>
      <c r="E812">
        <v>543.11999500000002</v>
      </c>
      <c r="F812">
        <v>529.40002400000003</v>
      </c>
      <c r="G812">
        <v>535.09002699999996</v>
      </c>
      <c r="H812">
        <v>535.09002699999996</v>
      </c>
      <c r="I812">
        <f t="shared" si="50"/>
        <v>5.2200319999999465</v>
      </c>
      <c r="J812">
        <v>5583500</v>
      </c>
      <c r="K812">
        <v>-1.12359550561797E-2</v>
      </c>
      <c r="L812">
        <v>-6</v>
      </c>
      <c r="M812">
        <f t="shared" si="51"/>
        <v>9.8515334879453707E-3</v>
      </c>
      <c r="N812">
        <v>534</v>
      </c>
    </row>
    <row r="813" spans="1:14" x14ac:dyDescent="0.25">
      <c r="A813" s="1">
        <v>44279</v>
      </c>
      <c r="B813" s="1">
        <f t="shared" si="48"/>
        <v>2021</v>
      </c>
      <c r="C813" s="1" t="str">
        <f t="shared" si="49"/>
        <v>Mar</v>
      </c>
      <c r="D813">
        <v>533.78002900000001</v>
      </c>
      <c r="E813">
        <v>534.419983</v>
      </c>
      <c r="F813">
        <v>520</v>
      </c>
      <c r="G813">
        <v>520.80999799999995</v>
      </c>
      <c r="H813">
        <v>520.80999799999995</v>
      </c>
      <c r="I813">
        <f t="shared" si="50"/>
        <v>-12.970031000000063</v>
      </c>
      <c r="J813">
        <v>4102200</v>
      </c>
      <c r="K813">
        <v>-6.3241106719367501E-2</v>
      </c>
      <c r="L813">
        <v>-16</v>
      </c>
      <c r="M813">
        <f t="shared" si="51"/>
        <v>-2.4298456846162865E-2</v>
      </c>
      <c r="N813">
        <v>253</v>
      </c>
    </row>
    <row r="814" spans="1:14" x14ac:dyDescent="0.25">
      <c r="A814" s="1">
        <v>44280</v>
      </c>
      <c r="B814" s="1">
        <f t="shared" si="48"/>
        <v>2021</v>
      </c>
      <c r="C814" s="1" t="str">
        <f t="shared" si="49"/>
        <v>Mar</v>
      </c>
      <c r="D814">
        <v>516.98999000000003</v>
      </c>
      <c r="E814">
        <v>518.53002900000001</v>
      </c>
      <c r="F814">
        <v>497</v>
      </c>
      <c r="G814">
        <v>502.85998499999999</v>
      </c>
      <c r="H814">
        <v>502.85998499999999</v>
      </c>
      <c r="I814">
        <f t="shared" si="50"/>
        <v>-14.13000500000004</v>
      </c>
      <c r="J814">
        <v>4926800</v>
      </c>
      <c r="K814">
        <v>-6.1643835616438297E-2</v>
      </c>
      <c r="L814">
        <v>-18</v>
      </c>
      <c r="M814">
        <f t="shared" si="51"/>
        <v>-2.7331293203568679E-2</v>
      </c>
      <c r="N814">
        <v>292</v>
      </c>
    </row>
    <row r="815" spans="1:14" x14ac:dyDescent="0.25">
      <c r="A815" s="1">
        <v>44281</v>
      </c>
      <c r="B815" s="1">
        <f t="shared" si="48"/>
        <v>2021</v>
      </c>
      <c r="C815" s="1" t="str">
        <f t="shared" si="49"/>
        <v>Mar</v>
      </c>
      <c r="D815">
        <v>502.82000699999998</v>
      </c>
      <c r="E815">
        <v>508.72000100000002</v>
      </c>
      <c r="F815">
        <v>496.67999300000002</v>
      </c>
      <c r="G815">
        <v>508.04998799999998</v>
      </c>
      <c r="H815">
        <v>508.04998799999998</v>
      </c>
      <c r="I815">
        <f t="shared" si="50"/>
        <v>5.2299810000000093</v>
      </c>
      <c r="J815">
        <v>3467800</v>
      </c>
      <c r="K815">
        <v>-0.109170305676855</v>
      </c>
      <c r="L815">
        <v>-25</v>
      </c>
      <c r="M815">
        <f t="shared" si="51"/>
        <v>1.0401298530668868E-2</v>
      </c>
      <c r="N815">
        <v>229</v>
      </c>
    </row>
    <row r="816" spans="1:14" x14ac:dyDescent="0.25">
      <c r="A816" s="1">
        <v>44284</v>
      </c>
      <c r="B816" s="1">
        <f t="shared" si="48"/>
        <v>2021</v>
      </c>
      <c r="C816" s="1" t="str">
        <f t="shared" si="49"/>
        <v>Mar</v>
      </c>
      <c r="D816">
        <v>505.66000400000001</v>
      </c>
      <c r="E816">
        <v>518</v>
      </c>
      <c r="F816">
        <v>504.39999399999999</v>
      </c>
      <c r="G816">
        <v>513.95001200000002</v>
      </c>
      <c r="H816">
        <v>513.95001200000002</v>
      </c>
      <c r="I816">
        <f t="shared" si="50"/>
        <v>8.2900080000000003</v>
      </c>
      <c r="J816">
        <v>3330000</v>
      </c>
      <c r="K816">
        <v>-4.2328042328042298E-2</v>
      </c>
      <c r="L816">
        <v>-16</v>
      </c>
      <c r="M816">
        <f t="shared" si="51"/>
        <v>1.6394430910932793E-2</v>
      </c>
      <c r="N816">
        <v>378</v>
      </c>
    </row>
    <row r="817" spans="1:14" x14ac:dyDescent="0.25">
      <c r="A817" s="1">
        <v>44285</v>
      </c>
      <c r="B817" s="1">
        <f t="shared" si="48"/>
        <v>2021</v>
      </c>
      <c r="C817" s="1" t="str">
        <f t="shared" si="49"/>
        <v>Mar</v>
      </c>
      <c r="D817">
        <v>510.51001000000002</v>
      </c>
      <c r="E817">
        <v>514.40997300000004</v>
      </c>
      <c r="F817">
        <v>506.91000400000001</v>
      </c>
      <c r="G817">
        <v>513.39001499999995</v>
      </c>
      <c r="H817">
        <v>513.39001499999995</v>
      </c>
      <c r="I817">
        <f t="shared" si="50"/>
        <v>2.880004999999926</v>
      </c>
      <c r="J817">
        <v>2418100</v>
      </c>
      <c r="K817">
        <v>-8.9494163424124501E-2</v>
      </c>
      <c r="L817">
        <v>-23</v>
      </c>
      <c r="M817">
        <f t="shared" si="51"/>
        <v>5.6414270897448731E-3</v>
      </c>
      <c r="N817">
        <v>257</v>
      </c>
    </row>
    <row r="818" spans="1:14" x14ac:dyDescent="0.25">
      <c r="A818" s="1">
        <v>44286</v>
      </c>
      <c r="B818" s="1">
        <f t="shared" si="48"/>
        <v>2021</v>
      </c>
      <c r="C818" s="1" t="str">
        <f t="shared" si="49"/>
        <v>Mar</v>
      </c>
      <c r="D818">
        <v>515.669983</v>
      </c>
      <c r="E818">
        <v>528.13000499999998</v>
      </c>
      <c r="F818">
        <v>515.44000200000005</v>
      </c>
      <c r="G818">
        <v>521.65997300000004</v>
      </c>
      <c r="H818">
        <v>521.65997300000004</v>
      </c>
      <c r="I818">
        <f t="shared" si="50"/>
        <v>5.9899900000000343</v>
      </c>
      <c r="J818">
        <v>3503100</v>
      </c>
      <c r="K818">
        <v>-2.6595744680850998E-3</v>
      </c>
      <c r="L818">
        <v>-1</v>
      </c>
      <c r="M818">
        <f t="shared" si="51"/>
        <v>1.1615936931508449E-2</v>
      </c>
      <c r="N818">
        <v>376</v>
      </c>
    </row>
    <row r="819" spans="1:14" x14ac:dyDescent="0.25">
      <c r="A819" s="1">
        <v>44287</v>
      </c>
      <c r="B819" s="1">
        <f t="shared" si="48"/>
        <v>2021</v>
      </c>
      <c r="C819" s="1" t="str">
        <f t="shared" si="49"/>
        <v>Apr</v>
      </c>
      <c r="D819">
        <v>529.92999299999997</v>
      </c>
      <c r="E819">
        <v>540.5</v>
      </c>
      <c r="F819">
        <v>527.03002900000001</v>
      </c>
      <c r="G819">
        <v>539.419983</v>
      </c>
      <c r="H819">
        <v>539.419983</v>
      </c>
      <c r="I819">
        <f t="shared" si="50"/>
        <v>9.4899900000000343</v>
      </c>
      <c r="J819">
        <v>3938600</v>
      </c>
      <c r="K819">
        <v>-3.8348082595870199E-2</v>
      </c>
      <c r="L819">
        <v>-13</v>
      </c>
      <c r="M819">
        <f t="shared" si="51"/>
        <v>1.7908006954420554E-2</v>
      </c>
      <c r="N819">
        <v>339</v>
      </c>
    </row>
    <row r="820" spans="1:14" x14ac:dyDescent="0.25">
      <c r="A820" s="1">
        <v>44291</v>
      </c>
      <c r="B820" s="1">
        <f t="shared" si="48"/>
        <v>2021</v>
      </c>
      <c r="C820" s="1" t="str">
        <f t="shared" si="49"/>
        <v>Apr</v>
      </c>
      <c r="D820">
        <v>540.01000999999997</v>
      </c>
      <c r="E820">
        <v>542.84997599999997</v>
      </c>
      <c r="F820">
        <v>529.22997999999995</v>
      </c>
      <c r="G820">
        <v>540.669983</v>
      </c>
      <c r="H820">
        <v>540.669983</v>
      </c>
      <c r="I820">
        <f t="shared" si="50"/>
        <v>0.65997300000003634</v>
      </c>
      <c r="J820">
        <v>3355900</v>
      </c>
      <c r="K820">
        <v>-5.2173913043478203E-2</v>
      </c>
      <c r="L820">
        <v>-18</v>
      </c>
      <c r="M820">
        <f t="shared" si="51"/>
        <v>1.2221495671904978E-3</v>
      </c>
      <c r="N820">
        <v>345</v>
      </c>
    </row>
    <row r="821" spans="1:14" x14ac:dyDescent="0.25">
      <c r="A821" s="1">
        <v>44292</v>
      </c>
      <c r="B821" s="1">
        <f t="shared" si="48"/>
        <v>2021</v>
      </c>
      <c r="C821" s="1" t="str">
        <f t="shared" si="49"/>
        <v>Apr</v>
      </c>
      <c r="D821">
        <v>544.80999799999995</v>
      </c>
      <c r="E821">
        <v>554.169983</v>
      </c>
      <c r="F821">
        <v>543.29998799999998</v>
      </c>
      <c r="G821">
        <v>544.53002900000001</v>
      </c>
      <c r="H821">
        <v>544.53002900000001</v>
      </c>
      <c r="I821">
        <f t="shared" si="50"/>
        <v>-0.2799689999999373</v>
      </c>
      <c r="J821">
        <v>3474200</v>
      </c>
      <c r="K821">
        <v>-2.9850746268656001E-3</v>
      </c>
      <c r="L821">
        <v>-1</v>
      </c>
      <c r="M821">
        <f t="shared" si="51"/>
        <v>-5.138837411716099E-4</v>
      </c>
      <c r="N821">
        <v>335</v>
      </c>
    </row>
    <row r="822" spans="1:14" x14ac:dyDescent="0.25">
      <c r="A822" s="1">
        <v>44293</v>
      </c>
      <c r="B822" s="1">
        <f t="shared" si="48"/>
        <v>2021</v>
      </c>
      <c r="C822" s="1" t="str">
        <f t="shared" si="49"/>
        <v>Apr</v>
      </c>
      <c r="D822">
        <v>543.5</v>
      </c>
      <c r="E822">
        <v>549.64001499999995</v>
      </c>
      <c r="F822">
        <v>541.45001200000002</v>
      </c>
      <c r="G822">
        <v>546.98999000000003</v>
      </c>
      <c r="H822">
        <v>546.98999000000003</v>
      </c>
      <c r="I822">
        <f t="shared" si="50"/>
        <v>3.4899900000000343</v>
      </c>
      <c r="J822">
        <v>2151300</v>
      </c>
      <c r="K822">
        <v>-4.7430830039525598E-2</v>
      </c>
      <c r="L822">
        <v>-12</v>
      </c>
      <c r="M822">
        <f t="shared" si="51"/>
        <v>6.4213247470101828E-3</v>
      </c>
      <c r="N822">
        <v>253</v>
      </c>
    </row>
    <row r="823" spans="1:14" x14ac:dyDescent="0.25">
      <c r="A823" s="1">
        <v>44294</v>
      </c>
      <c r="B823" s="1">
        <f t="shared" si="48"/>
        <v>2021</v>
      </c>
      <c r="C823" s="1" t="str">
        <f t="shared" si="49"/>
        <v>Apr</v>
      </c>
      <c r="D823">
        <v>551.13000499999998</v>
      </c>
      <c r="E823">
        <v>556.90002400000003</v>
      </c>
      <c r="F823">
        <v>547.57000700000003</v>
      </c>
      <c r="G823">
        <v>554.580017</v>
      </c>
      <c r="H823">
        <v>554.580017</v>
      </c>
      <c r="I823">
        <f t="shared" si="50"/>
        <v>3.4500120000000152</v>
      </c>
      <c r="J823">
        <v>4309800</v>
      </c>
      <c r="K823">
        <v>-1.52963671128107E-2</v>
      </c>
      <c r="L823">
        <v>-8</v>
      </c>
      <c r="M823">
        <f t="shared" si="51"/>
        <v>6.2598878099551399E-3</v>
      </c>
      <c r="N823">
        <v>523</v>
      </c>
    </row>
    <row r="824" spans="1:14" x14ac:dyDescent="0.25">
      <c r="A824" s="1">
        <v>44295</v>
      </c>
      <c r="B824" s="1">
        <f t="shared" si="48"/>
        <v>2021</v>
      </c>
      <c r="C824" s="1" t="str">
        <f t="shared" si="49"/>
        <v>Apr</v>
      </c>
      <c r="D824">
        <v>552.69000200000005</v>
      </c>
      <c r="E824">
        <v>556.90002400000003</v>
      </c>
      <c r="F824">
        <v>547.10998500000005</v>
      </c>
      <c r="G824">
        <v>555.30999799999995</v>
      </c>
      <c r="H824">
        <v>555.30999799999995</v>
      </c>
      <c r="I824">
        <f t="shared" si="50"/>
        <v>2.619995999999901</v>
      </c>
      <c r="J824">
        <v>2894000</v>
      </c>
      <c r="K824">
        <v>1.75879396984924E-2</v>
      </c>
      <c r="L824">
        <v>7</v>
      </c>
      <c r="M824">
        <f t="shared" si="51"/>
        <v>4.7404439930503767E-3</v>
      </c>
      <c r="N824">
        <v>398</v>
      </c>
    </row>
    <row r="825" spans="1:14" x14ac:dyDescent="0.25">
      <c r="A825" s="1">
        <v>44298</v>
      </c>
      <c r="B825" s="1">
        <f t="shared" si="48"/>
        <v>2021</v>
      </c>
      <c r="C825" s="1" t="str">
        <f t="shared" si="49"/>
        <v>Apr</v>
      </c>
      <c r="D825">
        <v>551.04998799999998</v>
      </c>
      <c r="E825">
        <v>557.97997999999995</v>
      </c>
      <c r="F825">
        <v>549.580017</v>
      </c>
      <c r="G825">
        <v>552.78002900000001</v>
      </c>
      <c r="H825">
        <v>552.78002900000001</v>
      </c>
      <c r="I825">
        <f t="shared" si="50"/>
        <v>1.7300410000000284</v>
      </c>
      <c r="J825">
        <v>2944100</v>
      </c>
      <c r="K825">
        <v>-4.3103448275862002E-2</v>
      </c>
      <c r="L825">
        <v>-15</v>
      </c>
      <c r="M825">
        <f t="shared" si="51"/>
        <v>3.139535500724897E-3</v>
      </c>
      <c r="N825">
        <v>348</v>
      </c>
    </row>
    <row r="826" spans="1:14" x14ac:dyDescent="0.25">
      <c r="A826" s="1">
        <v>44299</v>
      </c>
      <c r="B826" s="1">
        <f t="shared" si="48"/>
        <v>2021</v>
      </c>
      <c r="C826" s="1" t="str">
        <f t="shared" si="49"/>
        <v>Apr</v>
      </c>
      <c r="D826">
        <v>557</v>
      </c>
      <c r="E826">
        <v>559.75</v>
      </c>
      <c r="F826">
        <v>550.29998799999998</v>
      </c>
      <c r="G826">
        <v>553.72997999999995</v>
      </c>
      <c r="H826">
        <v>553.72997999999995</v>
      </c>
      <c r="I826">
        <f t="shared" si="50"/>
        <v>-3.270020000000045</v>
      </c>
      <c r="J826">
        <v>2720300</v>
      </c>
      <c r="K826">
        <v>-9.3567251461988299E-2</v>
      </c>
      <c r="L826">
        <v>-32</v>
      </c>
      <c r="M826">
        <f t="shared" si="51"/>
        <v>-5.870771992818752E-3</v>
      </c>
      <c r="N826">
        <v>342</v>
      </c>
    </row>
    <row r="827" spans="1:14" x14ac:dyDescent="0.25">
      <c r="A827" s="1">
        <v>44300</v>
      </c>
      <c r="B827" s="1">
        <f t="shared" si="48"/>
        <v>2021</v>
      </c>
      <c r="C827" s="1" t="str">
        <f t="shared" si="49"/>
        <v>Apr</v>
      </c>
      <c r="D827">
        <v>554.86999500000002</v>
      </c>
      <c r="E827">
        <v>554.86999500000002</v>
      </c>
      <c r="F827">
        <v>538.53002900000001</v>
      </c>
      <c r="G827">
        <v>540.02002000000005</v>
      </c>
      <c r="H827">
        <v>540.02002000000005</v>
      </c>
      <c r="I827">
        <f t="shared" si="50"/>
        <v>-14.849974999999972</v>
      </c>
      <c r="J827">
        <v>3740300</v>
      </c>
      <c r="K827">
        <v>-5.4421768707482901E-2</v>
      </c>
      <c r="L827">
        <v>-16</v>
      </c>
      <c r="M827">
        <f t="shared" si="51"/>
        <v>-2.6762980759123534E-2</v>
      </c>
      <c r="N827">
        <v>294</v>
      </c>
    </row>
    <row r="828" spans="1:14" x14ac:dyDescent="0.25">
      <c r="A828" s="1">
        <v>44301</v>
      </c>
      <c r="B828" s="1">
        <f t="shared" si="48"/>
        <v>2021</v>
      </c>
      <c r="C828" s="1" t="str">
        <f t="shared" si="49"/>
        <v>Apr</v>
      </c>
      <c r="D828">
        <v>544.169983</v>
      </c>
      <c r="E828">
        <v>553.48999000000003</v>
      </c>
      <c r="F828">
        <v>542.65997300000004</v>
      </c>
      <c r="G828">
        <v>549.21997099999999</v>
      </c>
      <c r="H828">
        <v>549.21997099999999</v>
      </c>
      <c r="I828">
        <f t="shared" si="50"/>
        <v>5.0499879999999848</v>
      </c>
      <c r="J828">
        <v>3139100</v>
      </c>
      <c r="K828">
        <v>-4.0955631399317398E-2</v>
      </c>
      <c r="L828">
        <v>-12</v>
      </c>
      <c r="M828">
        <f t="shared" si="51"/>
        <v>9.280166414471238E-3</v>
      </c>
      <c r="N828">
        <v>293</v>
      </c>
    </row>
    <row r="829" spans="1:14" x14ac:dyDescent="0.25">
      <c r="A829" s="1">
        <v>44302</v>
      </c>
      <c r="B829" s="1">
        <f t="shared" si="48"/>
        <v>2021</v>
      </c>
      <c r="C829" s="1" t="str">
        <f t="shared" si="49"/>
        <v>Apr</v>
      </c>
      <c r="D829">
        <v>550.53997800000002</v>
      </c>
      <c r="E829">
        <v>551.97997999999995</v>
      </c>
      <c r="F829">
        <v>539.51000999999997</v>
      </c>
      <c r="G829">
        <v>546.53997800000002</v>
      </c>
      <c r="H829">
        <v>546.53997800000002</v>
      </c>
      <c r="I829">
        <f t="shared" si="50"/>
        <v>-4</v>
      </c>
      <c r="J829">
        <v>3209100</v>
      </c>
      <c r="K829">
        <v>-0.101167315175097</v>
      </c>
      <c r="L829">
        <v>-26</v>
      </c>
      <c r="M829">
        <f t="shared" si="51"/>
        <v>-7.2655940709904264E-3</v>
      </c>
      <c r="N829">
        <v>257</v>
      </c>
    </row>
    <row r="830" spans="1:14" x14ac:dyDescent="0.25">
      <c r="A830" s="1">
        <v>44305</v>
      </c>
      <c r="B830" s="1">
        <f t="shared" si="48"/>
        <v>2021</v>
      </c>
      <c r="C830" s="1" t="str">
        <f t="shared" si="49"/>
        <v>Apr</v>
      </c>
      <c r="D830">
        <v>546.90002400000003</v>
      </c>
      <c r="E830">
        <v>556.44000200000005</v>
      </c>
      <c r="F830">
        <v>545.53002900000001</v>
      </c>
      <c r="G830">
        <v>554.44000200000005</v>
      </c>
      <c r="H830">
        <v>554.44000200000005</v>
      </c>
      <c r="I830">
        <f t="shared" si="50"/>
        <v>7.5399780000000192</v>
      </c>
      <c r="J830">
        <v>4288700</v>
      </c>
      <c r="K830">
        <v>-1.55642023346303E-2</v>
      </c>
      <c r="L830">
        <v>-8</v>
      </c>
      <c r="M830">
        <f t="shared" si="51"/>
        <v>1.3786757486044687E-2</v>
      </c>
      <c r="N830">
        <v>514</v>
      </c>
    </row>
    <row r="831" spans="1:14" x14ac:dyDescent="0.25">
      <c r="A831" s="1">
        <v>44306</v>
      </c>
      <c r="B831" s="1">
        <f t="shared" si="48"/>
        <v>2021</v>
      </c>
      <c r="C831" s="1" t="str">
        <f t="shared" si="49"/>
        <v>Apr</v>
      </c>
      <c r="D831">
        <v>554.419983</v>
      </c>
      <c r="E831">
        <v>563.55999799999995</v>
      </c>
      <c r="F831">
        <v>546.29998799999998</v>
      </c>
      <c r="G831">
        <v>549.57000700000003</v>
      </c>
      <c r="H831">
        <v>549.57000700000003</v>
      </c>
      <c r="I831">
        <f t="shared" si="50"/>
        <v>-4.8499759999999696</v>
      </c>
      <c r="J831">
        <v>11257600</v>
      </c>
      <c r="K831">
        <v>-0.161198288159771</v>
      </c>
      <c r="L831">
        <v>-339</v>
      </c>
      <c r="M831">
        <f t="shared" si="51"/>
        <v>-8.7478376478359546E-3</v>
      </c>
      <c r="N831">
        <v>2103</v>
      </c>
    </row>
    <row r="832" spans="1:14" x14ac:dyDescent="0.25">
      <c r="A832" s="1">
        <v>44307</v>
      </c>
      <c r="B832" s="1">
        <f t="shared" si="48"/>
        <v>2021</v>
      </c>
      <c r="C832" s="1" t="str">
        <f t="shared" si="49"/>
        <v>Apr</v>
      </c>
      <c r="D832">
        <v>508</v>
      </c>
      <c r="E832">
        <v>515.46002199999998</v>
      </c>
      <c r="F832">
        <v>503.60000600000001</v>
      </c>
      <c r="G832">
        <v>508.89999399999999</v>
      </c>
      <c r="H832">
        <v>508.89999399999999</v>
      </c>
      <c r="I832">
        <f t="shared" si="50"/>
        <v>0.89999399999999241</v>
      </c>
      <c r="J832">
        <v>22897400</v>
      </c>
      <c r="K832">
        <v>-0.141074335322843</v>
      </c>
      <c r="L832">
        <v>-260</v>
      </c>
      <c r="M832">
        <f t="shared" si="51"/>
        <v>1.7716417322834496E-3</v>
      </c>
      <c r="N832">
        <v>1843</v>
      </c>
    </row>
    <row r="833" spans="1:14" x14ac:dyDescent="0.25">
      <c r="A833" s="1">
        <v>44308</v>
      </c>
      <c r="B833" s="1">
        <f t="shared" si="48"/>
        <v>2021</v>
      </c>
      <c r="C833" s="1" t="str">
        <f t="shared" si="49"/>
        <v>Apr</v>
      </c>
      <c r="D833">
        <v>513.82000700000003</v>
      </c>
      <c r="E833">
        <v>513.96002199999998</v>
      </c>
      <c r="F833">
        <v>500.54998799999998</v>
      </c>
      <c r="G833">
        <v>508.77999899999998</v>
      </c>
      <c r="H833">
        <v>508.77999899999998</v>
      </c>
      <c r="I833">
        <f t="shared" si="50"/>
        <v>-5.0400080000000571</v>
      </c>
      <c r="J833">
        <v>9061100</v>
      </c>
      <c r="K833">
        <v>-8.1889763779527502E-2</v>
      </c>
      <c r="L833">
        <v>-52</v>
      </c>
      <c r="M833">
        <f t="shared" si="51"/>
        <v>-9.8088979240546718E-3</v>
      </c>
      <c r="N833">
        <v>635</v>
      </c>
    </row>
    <row r="834" spans="1:14" x14ac:dyDescent="0.25">
      <c r="A834" s="1">
        <v>44309</v>
      </c>
      <c r="B834" s="1">
        <f t="shared" ref="B834:B897" si="52">YEAR(A834)</f>
        <v>2021</v>
      </c>
      <c r="C834" s="1" t="str">
        <f t="shared" ref="C834:C897" si="53">TEXT(A834,"mmm")</f>
        <v>Apr</v>
      </c>
      <c r="D834">
        <v>509.01001000000002</v>
      </c>
      <c r="E834">
        <v>509.70001200000002</v>
      </c>
      <c r="F834">
        <v>500.70001200000002</v>
      </c>
      <c r="G834">
        <v>505.54998799999998</v>
      </c>
      <c r="H834">
        <v>505.54998799999998</v>
      </c>
      <c r="I834">
        <f t="shared" ref="I834:I897" si="54">G834-D834</f>
        <v>-3.4600220000000377</v>
      </c>
      <c r="J834">
        <v>7307700</v>
      </c>
      <c r="K834">
        <v>-7.1246819338422293E-2</v>
      </c>
      <c r="L834">
        <v>-28</v>
      </c>
      <c r="M834">
        <f t="shared" ref="M834:M897" si="55">(G834-D834)/D834</f>
        <v>-6.7975519774159995E-3</v>
      </c>
      <c r="N834">
        <v>393</v>
      </c>
    </row>
    <row r="835" spans="1:14" x14ac:dyDescent="0.25">
      <c r="A835" s="1">
        <v>44312</v>
      </c>
      <c r="B835" s="1">
        <f t="shared" si="52"/>
        <v>2021</v>
      </c>
      <c r="C835" s="1" t="str">
        <f t="shared" si="53"/>
        <v>Apr</v>
      </c>
      <c r="D835">
        <v>506.76001000000002</v>
      </c>
      <c r="E835">
        <v>510.48001099999999</v>
      </c>
      <c r="F835">
        <v>503</v>
      </c>
      <c r="G835">
        <v>510.29998799999998</v>
      </c>
      <c r="H835">
        <v>510.29998799999998</v>
      </c>
      <c r="I835">
        <f t="shared" si="54"/>
        <v>3.5399779999999623</v>
      </c>
      <c r="J835">
        <v>4388800</v>
      </c>
      <c r="K835">
        <v>-9.6618357487922007E-3</v>
      </c>
      <c r="L835">
        <v>-4</v>
      </c>
      <c r="M835">
        <f t="shared" si="55"/>
        <v>6.9855117415440144E-3</v>
      </c>
      <c r="N835">
        <v>414</v>
      </c>
    </row>
    <row r="836" spans="1:14" x14ac:dyDescent="0.25">
      <c r="A836" s="1">
        <v>44313</v>
      </c>
      <c r="B836" s="1">
        <f t="shared" si="52"/>
        <v>2021</v>
      </c>
      <c r="C836" s="1" t="str">
        <f t="shared" si="53"/>
        <v>Apr</v>
      </c>
      <c r="D836">
        <v>512.61999500000002</v>
      </c>
      <c r="E836">
        <v>512.98999000000003</v>
      </c>
      <c r="F836">
        <v>504.57998700000002</v>
      </c>
      <c r="G836">
        <v>505.54998799999998</v>
      </c>
      <c r="H836">
        <v>505.54998799999998</v>
      </c>
      <c r="I836">
        <f t="shared" si="54"/>
        <v>-7.0700070000000323</v>
      </c>
      <c r="J836">
        <v>3761300</v>
      </c>
      <c r="K836">
        <v>-4.85436893203883E-2</v>
      </c>
      <c r="L836">
        <v>-15</v>
      </c>
      <c r="M836">
        <f t="shared" si="55"/>
        <v>-1.3791906419881324E-2</v>
      </c>
      <c r="N836">
        <v>309</v>
      </c>
    </row>
    <row r="837" spans="1:14" x14ac:dyDescent="0.25">
      <c r="A837" s="1">
        <v>44314</v>
      </c>
      <c r="B837" s="1">
        <f t="shared" si="52"/>
        <v>2021</v>
      </c>
      <c r="C837" s="1" t="str">
        <f t="shared" si="53"/>
        <v>Apr</v>
      </c>
      <c r="D837">
        <v>505.20001200000002</v>
      </c>
      <c r="E837">
        <v>508.39999399999999</v>
      </c>
      <c r="F837">
        <v>503.33999599999999</v>
      </c>
      <c r="G837">
        <v>506.51998900000001</v>
      </c>
      <c r="H837">
        <v>506.51998900000001</v>
      </c>
      <c r="I837">
        <f t="shared" si="54"/>
        <v>1.3199769999999944</v>
      </c>
      <c r="J837">
        <v>3193000</v>
      </c>
      <c r="K837">
        <v>-5.1829268292682897E-2</v>
      </c>
      <c r="L837">
        <v>-17</v>
      </c>
      <c r="M837">
        <f t="shared" si="55"/>
        <v>2.6127810147399491E-3</v>
      </c>
      <c r="N837">
        <v>328</v>
      </c>
    </row>
    <row r="838" spans="1:14" x14ac:dyDescent="0.25">
      <c r="A838" s="1">
        <v>44315</v>
      </c>
      <c r="B838" s="1">
        <f t="shared" si="52"/>
        <v>2021</v>
      </c>
      <c r="C838" s="1" t="str">
        <f t="shared" si="53"/>
        <v>Apr</v>
      </c>
      <c r="D838">
        <v>507.60000600000001</v>
      </c>
      <c r="E838">
        <v>509.290009</v>
      </c>
      <c r="F838">
        <v>499</v>
      </c>
      <c r="G838">
        <v>509</v>
      </c>
      <c r="H838">
        <v>509</v>
      </c>
      <c r="I838">
        <f t="shared" si="54"/>
        <v>1.3999939999999924</v>
      </c>
      <c r="J838">
        <v>5127800</v>
      </c>
      <c r="K838">
        <v>-2.6086956521739101E-2</v>
      </c>
      <c r="L838">
        <v>-9</v>
      </c>
      <c r="M838">
        <f t="shared" si="55"/>
        <v>2.7580653732301027E-3</v>
      </c>
      <c r="N838">
        <v>345</v>
      </c>
    </row>
    <row r="839" spans="1:14" x14ac:dyDescent="0.25">
      <c r="A839" s="1">
        <v>44316</v>
      </c>
      <c r="B839" s="1">
        <f t="shared" si="52"/>
        <v>2021</v>
      </c>
      <c r="C839" s="1" t="str">
        <f t="shared" si="53"/>
        <v>Apr</v>
      </c>
      <c r="D839">
        <v>505</v>
      </c>
      <c r="E839">
        <v>514.54998799999998</v>
      </c>
      <c r="F839">
        <v>505</v>
      </c>
      <c r="G839">
        <v>513.46997099999999</v>
      </c>
      <c r="H839">
        <v>513.46997099999999</v>
      </c>
      <c r="I839">
        <f t="shared" si="54"/>
        <v>8.4699709999999868</v>
      </c>
      <c r="J839">
        <v>4413200</v>
      </c>
      <c r="K839">
        <v>-9.2696629213483095E-2</v>
      </c>
      <c r="L839">
        <v>-33</v>
      </c>
      <c r="M839">
        <f t="shared" si="55"/>
        <v>1.6772219801980171E-2</v>
      </c>
      <c r="N839">
        <v>356</v>
      </c>
    </row>
    <row r="840" spans="1:14" x14ac:dyDescent="0.25">
      <c r="A840" s="1">
        <v>44319</v>
      </c>
      <c r="B840" s="1">
        <f t="shared" si="52"/>
        <v>2021</v>
      </c>
      <c r="C840" s="1" t="str">
        <f t="shared" si="53"/>
        <v>May</v>
      </c>
      <c r="D840">
        <v>512.65002400000003</v>
      </c>
      <c r="E840">
        <v>518.95001200000002</v>
      </c>
      <c r="F840">
        <v>505.20001200000002</v>
      </c>
      <c r="G840">
        <v>509.10998499999999</v>
      </c>
      <c r="H840">
        <v>509.10998499999999</v>
      </c>
      <c r="I840">
        <f t="shared" si="54"/>
        <v>-3.5400390000000357</v>
      </c>
      <c r="J840">
        <v>4091900</v>
      </c>
      <c r="K840">
        <v>-2.40963855421686E-2</v>
      </c>
      <c r="L840">
        <v>-8</v>
      </c>
      <c r="M840">
        <f t="shared" si="55"/>
        <v>-6.905371762939848E-3</v>
      </c>
      <c r="N840">
        <v>332</v>
      </c>
    </row>
    <row r="841" spans="1:14" x14ac:dyDescent="0.25">
      <c r="A841" s="1">
        <v>44320</v>
      </c>
      <c r="B841" s="1">
        <f t="shared" si="52"/>
        <v>2021</v>
      </c>
      <c r="C841" s="1" t="str">
        <f t="shared" si="53"/>
        <v>May</v>
      </c>
      <c r="D841">
        <v>510.77999899999998</v>
      </c>
      <c r="E841">
        <v>511.63000499999998</v>
      </c>
      <c r="F841">
        <v>496.790009</v>
      </c>
      <c r="G841">
        <v>503.17999300000002</v>
      </c>
      <c r="H841">
        <v>503.17999300000002</v>
      </c>
      <c r="I841">
        <f t="shared" si="54"/>
        <v>-7.6000059999999507</v>
      </c>
      <c r="J841">
        <v>4349500</v>
      </c>
      <c r="K841">
        <v>-9.12162162162162E-2</v>
      </c>
      <c r="L841">
        <v>-27</v>
      </c>
      <c r="M841">
        <f t="shared" si="55"/>
        <v>-1.487921612999563E-2</v>
      </c>
      <c r="N841">
        <v>296</v>
      </c>
    </row>
    <row r="842" spans="1:14" x14ac:dyDescent="0.25">
      <c r="A842" s="1">
        <v>44321</v>
      </c>
      <c r="B842" s="1">
        <f t="shared" si="52"/>
        <v>2021</v>
      </c>
      <c r="C842" s="1" t="str">
        <f t="shared" si="53"/>
        <v>May</v>
      </c>
      <c r="D842">
        <v>504.98998999999998</v>
      </c>
      <c r="E842">
        <v>507.77999899999998</v>
      </c>
      <c r="F842">
        <v>494.63000499999998</v>
      </c>
      <c r="G842">
        <v>496.07998700000002</v>
      </c>
      <c r="H842">
        <v>496.07998700000002</v>
      </c>
      <c r="I842">
        <f t="shared" si="54"/>
        <v>-8.9100029999999606</v>
      </c>
      <c r="J842">
        <v>3129400</v>
      </c>
      <c r="K842">
        <v>-0.113846153846153</v>
      </c>
      <c r="L842">
        <v>-37</v>
      </c>
      <c r="M842">
        <f t="shared" si="55"/>
        <v>-1.7643920030969248E-2</v>
      </c>
      <c r="N842">
        <v>325</v>
      </c>
    </row>
    <row r="843" spans="1:14" x14ac:dyDescent="0.25">
      <c r="A843" s="1">
        <v>44322</v>
      </c>
      <c r="B843" s="1">
        <f t="shared" si="52"/>
        <v>2021</v>
      </c>
      <c r="C843" s="1" t="str">
        <f t="shared" si="53"/>
        <v>May</v>
      </c>
      <c r="D843">
        <v>495.98998999999998</v>
      </c>
      <c r="E843">
        <v>499.54998799999998</v>
      </c>
      <c r="F843">
        <v>491.36999500000002</v>
      </c>
      <c r="G843">
        <v>499.54998799999998</v>
      </c>
      <c r="H843">
        <v>499.54998799999998</v>
      </c>
      <c r="I843">
        <f t="shared" si="54"/>
        <v>3.5599980000000073</v>
      </c>
      <c r="J843">
        <v>3783700</v>
      </c>
      <c r="K843">
        <v>-0.108761329305135</v>
      </c>
      <c r="L843">
        <v>-36</v>
      </c>
      <c r="M843">
        <f t="shared" si="55"/>
        <v>7.1775601761640542E-3</v>
      </c>
      <c r="N843">
        <v>331</v>
      </c>
    </row>
    <row r="844" spans="1:14" x14ac:dyDescent="0.25">
      <c r="A844" s="1">
        <v>44323</v>
      </c>
      <c r="B844" s="1">
        <f t="shared" si="52"/>
        <v>2021</v>
      </c>
      <c r="C844" s="1" t="str">
        <f t="shared" si="53"/>
        <v>May</v>
      </c>
      <c r="D844">
        <v>504.61999500000002</v>
      </c>
      <c r="E844">
        <v>508.54998799999998</v>
      </c>
      <c r="F844">
        <v>501.11999500000002</v>
      </c>
      <c r="G844">
        <v>503.83999599999999</v>
      </c>
      <c r="H844">
        <v>503.83999599999999</v>
      </c>
      <c r="I844">
        <f t="shared" si="54"/>
        <v>-0.77999900000003208</v>
      </c>
      <c r="J844">
        <v>3132800</v>
      </c>
      <c r="K844">
        <v>-5.2434456928838899E-2</v>
      </c>
      <c r="L844">
        <v>-14</v>
      </c>
      <c r="M844">
        <f t="shared" si="55"/>
        <v>-1.5457156032828863E-3</v>
      </c>
      <c r="N844">
        <v>267</v>
      </c>
    </row>
    <row r="845" spans="1:14" x14ac:dyDescent="0.25">
      <c r="A845" s="1">
        <v>44326</v>
      </c>
      <c r="B845" s="1">
        <f t="shared" si="52"/>
        <v>2021</v>
      </c>
      <c r="C845" s="1" t="str">
        <f t="shared" si="53"/>
        <v>May</v>
      </c>
      <c r="D845">
        <v>502</v>
      </c>
      <c r="E845">
        <v>503.14999399999999</v>
      </c>
      <c r="F845">
        <v>486.10998499999999</v>
      </c>
      <c r="G845">
        <v>486.69000199999999</v>
      </c>
      <c r="H845">
        <v>486.69000199999999</v>
      </c>
      <c r="I845">
        <f t="shared" si="54"/>
        <v>-15.309998000000007</v>
      </c>
      <c r="J845">
        <v>5131600</v>
      </c>
      <c r="K845">
        <v>-9.0047393364928896E-2</v>
      </c>
      <c r="L845">
        <v>-19</v>
      </c>
      <c r="M845">
        <f t="shared" si="55"/>
        <v>-3.049800398406376E-2</v>
      </c>
      <c r="N845">
        <v>211</v>
      </c>
    </row>
    <row r="846" spans="1:14" x14ac:dyDescent="0.25">
      <c r="A846" s="1">
        <v>44327</v>
      </c>
      <c r="B846" s="1">
        <f t="shared" si="52"/>
        <v>2021</v>
      </c>
      <c r="C846" s="1" t="str">
        <f t="shared" si="53"/>
        <v>May</v>
      </c>
      <c r="D846">
        <v>479.75</v>
      </c>
      <c r="E846">
        <v>497.98998999999998</v>
      </c>
      <c r="F846">
        <v>478.63000499999998</v>
      </c>
      <c r="G846">
        <v>495.07998700000002</v>
      </c>
      <c r="H846">
        <v>495.07998700000002</v>
      </c>
      <c r="I846">
        <f t="shared" si="54"/>
        <v>15.329987000000017</v>
      </c>
      <c r="J846">
        <v>4401000</v>
      </c>
      <c r="K846">
        <v>-6.1371841155234599E-2</v>
      </c>
      <c r="L846">
        <v>-17</v>
      </c>
      <c r="M846">
        <f t="shared" si="55"/>
        <v>3.1954115685252769E-2</v>
      </c>
      <c r="N846">
        <v>277</v>
      </c>
    </row>
    <row r="847" spans="1:14" x14ac:dyDescent="0.25">
      <c r="A847" s="1">
        <v>44328</v>
      </c>
      <c r="B847" s="1">
        <f t="shared" si="52"/>
        <v>2021</v>
      </c>
      <c r="C847" s="1" t="str">
        <f t="shared" si="53"/>
        <v>May</v>
      </c>
      <c r="D847">
        <v>486.82998700000002</v>
      </c>
      <c r="E847">
        <v>493.540009</v>
      </c>
      <c r="F847">
        <v>482.70001200000002</v>
      </c>
      <c r="G847">
        <v>484.98001099999999</v>
      </c>
      <c r="H847">
        <v>484.98001099999999</v>
      </c>
      <c r="I847">
        <f t="shared" si="54"/>
        <v>-1.8499760000000265</v>
      </c>
      <c r="J847">
        <v>4121500</v>
      </c>
      <c r="K847">
        <v>-0.08</v>
      </c>
      <c r="L847">
        <v>-16</v>
      </c>
      <c r="M847">
        <f t="shared" si="55"/>
        <v>-3.8000452917868973E-3</v>
      </c>
      <c r="N847">
        <v>200</v>
      </c>
    </row>
    <row r="848" spans="1:14" x14ac:dyDescent="0.25">
      <c r="A848" s="1">
        <v>44329</v>
      </c>
      <c r="B848" s="1">
        <f t="shared" si="52"/>
        <v>2021</v>
      </c>
      <c r="C848" s="1" t="str">
        <f t="shared" si="53"/>
        <v>May</v>
      </c>
      <c r="D848">
        <v>489.13000499999998</v>
      </c>
      <c r="E848">
        <v>490.77999899999998</v>
      </c>
      <c r="F848">
        <v>482.709991</v>
      </c>
      <c r="G848">
        <v>486.66000400000001</v>
      </c>
      <c r="H848">
        <v>486.66000400000001</v>
      </c>
      <c r="I848">
        <f t="shared" si="54"/>
        <v>-2.4700009999999679</v>
      </c>
      <c r="J848">
        <v>2712500</v>
      </c>
      <c r="K848">
        <v>-9.7014925373134303E-2</v>
      </c>
      <c r="L848">
        <v>-26</v>
      </c>
      <c r="M848">
        <f t="shared" si="55"/>
        <v>-5.049784259299259E-3</v>
      </c>
      <c r="N848">
        <v>268</v>
      </c>
    </row>
    <row r="849" spans="1:14" x14ac:dyDescent="0.25">
      <c r="A849" s="1">
        <v>44330</v>
      </c>
      <c r="B849" s="1">
        <f t="shared" si="52"/>
        <v>2021</v>
      </c>
      <c r="C849" s="1" t="str">
        <f t="shared" si="53"/>
        <v>May</v>
      </c>
      <c r="D849">
        <v>487.85998499999999</v>
      </c>
      <c r="E849">
        <v>494.85000600000001</v>
      </c>
      <c r="F849">
        <v>486.58999599999999</v>
      </c>
      <c r="G849">
        <v>493.36999500000002</v>
      </c>
      <c r="H849">
        <v>493.36999500000002</v>
      </c>
      <c r="I849">
        <f t="shared" si="54"/>
        <v>5.5100100000000225</v>
      </c>
      <c r="J849">
        <v>2882500</v>
      </c>
      <c r="K849">
        <v>-9.6069868995633106E-2</v>
      </c>
      <c r="L849">
        <v>-22</v>
      </c>
      <c r="M849">
        <f t="shared" si="55"/>
        <v>1.1294244597658532E-2</v>
      </c>
      <c r="N849">
        <v>229</v>
      </c>
    </row>
    <row r="850" spans="1:14" x14ac:dyDescent="0.25">
      <c r="A850" s="1">
        <v>44333</v>
      </c>
      <c r="B850" s="1">
        <f t="shared" si="52"/>
        <v>2021</v>
      </c>
      <c r="C850" s="1" t="str">
        <f t="shared" si="53"/>
        <v>May</v>
      </c>
      <c r="D850">
        <v>485.58999599999999</v>
      </c>
      <c r="E850">
        <v>492.709991</v>
      </c>
      <c r="F850">
        <v>482.80999800000001</v>
      </c>
      <c r="G850">
        <v>488.94000199999999</v>
      </c>
      <c r="H850">
        <v>488.94000199999999</v>
      </c>
      <c r="I850">
        <f t="shared" si="54"/>
        <v>3.3500060000000076</v>
      </c>
      <c r="J850">
        <v>2705200</v>
      </c>
      <c r="K850">
        <v>-4.7781569965870303E-2</v>
      </c>
      <c r="L850">
        <v>-14</v>
      </c>
      <c r="M850">
        <f t="shared" si="55"/>
        <v>6.8988365238068202E-3</v>
      </c>
      <c r="N850">
        <v>293</v>
      </c>
    </row>
    <row r="851" spans="1:14" x14ac:dyDescent="0.25">
      <c r="A851" s="1">
        <v>44334</v>
      </c>
      <c r="B851" s="1">
        <f t="shared" si="52"/>
        <v>2021</v>
      </c>
      <c r="C851" s="1" t="str">
        <f t="shared" si="53"/>
        <v>May</v>
      </c>
      <c r="D851">
        <v>488.39999399999999</v>
      </c>
      <c r="E851">
        <v>493.48001099999999</v>
      </c>
      <c r="F851">
        <v>486.19000199999999</v>
      </c>
      <c r="G851">
        <v>486.27999899999998</v>
      </c>
      <c r="H851">
        <v>486.27999899999998</v>
      </c>
      <c r="I851">
        <f t="shared" si="54"/>
        <v>-2.1199950000000172</v>
      </c>
      <c r="J851">
        <v>2350500</v>
      </c>
      <c r="K851">
        <v>9.1324200913242004E-3</v>
      </c>
      <c r="L851">
        <v>2</v>
      </c>
      <c r="M851">
        <f t="shared" si="55"/>
        <v>-4.3406941565196193E-3</v>
      </c>
      <c r="N851">
        <v>219</v>
      </c>
    </row>
    <row r="852" spans="1:14" x14ac:dyDescent="0.25">
      <c r="A852" s="1">
        <v>44335</v>
      </c>
      <c r="B852" s="1">
        <f t="shared" si="52"/>
        <v>2021</v>
      </c>
      <c r="C852" s="1" t="str">
        <f t="shared" si="53"/>
        <v>May</v>
      </c>
      <c r="D852">
        <v>481.63000499999998</v>
      </c>
      <c r="E852">
        <v>488.57000699999998</v>
      </c>
      <c r="F852">
        <v>478.540009</v>
      </c>
      <c r="G852">
        <v>487.70001200000002</v>
      </c>
      <c r="H852">
        <v>487.70001200000002</v>
      </c>
      <c r="I852">
        <f t="shared" si="54"/>
        <v>6.0700070000000323</v>
      </c>
      <c r="J852">
        <v>3349900</v>
      </c>
      <c r="K852">
        <v>-0.104838709677419</v>
      </c>
      <c r="L852">
        <v>-26</v>
      </c>
      <c r="M852">
        <f t="shared" si="55"/>
        <v>1.2603049928336654E-2</v>
      </c>
      <c r="N852">
        <v>248</v>
      </c>
    </row>
    <row r="853" spans="1:14" x14ac:dyDescent="0.25">
      <c r="A853" s="1">
        <v>44336</v>
      </c>
      <c r="B853" s="1">
        <f t="shared" si="52"/>
        <v>2021</v>
      </c>
      <c r="C853" s="1" t="str">
        <f t="shared" si="53"/>
        <v>May</v>
      </c>
      <c r="D853">
        <v>489.54998799999998</v>
      </c>
      <c r="E853">
        <v>502.70001200000002</v>
      </c>
      <c r="F853">
        <v>488.98001099999999</v>
      </c>
      <c r="G853">
        <v>501.67001299999998</v>
      </c>
      <c r="H853">
        <v>501.67001299999998</v>
      </c>
      <c r="I853">
        <f t="shared" si="54"/>
        <v>12.120024999999998</v>
      </c>
      <c r="J853">
        <v>3721200</v>
      </c>
      <c r="K853">
        <v>-2.84697508896797E-2</v>
      </c>
      <c r="L853">
        <v>-8</v>
      </c>
      <c r="M853">
        <f t="shared" si="55"/>
        <v>2.4757481967296054E-2</v>
      </c>
      <c r="N853">
        <v>281</v>
      </c>
    </row>
    <row r="854" spans="1:14" x14ac:dyDescent="0.25">
      <c r="A854" s="1">
        <v>44337</v>
      </c>
      <c r="B854" s="1">
        <f t="shared" si="52"/>
        <v>2021</v>
      </c>
      <c r="C854" s="1" t="str">
        <f t="shared" si="53"/>
        <v>May</v>
      </c>
      <c r="D854">
        <v>503.11999500000002</v>
      </c>
      <c r="E854">
        <v>505.39999399999999</v>
      </c>
      <c r="F854">
        <v>497.26001000000002</v>
      </c>
      <c r="G854">
        <v>497.89001500000001</v>
      </c>
      <c r="H854">
        <v>497.89001500000001</v>
      </c>
      <c r="I854">
        <f t="shared" si="54"/>
        <v>-5.2299800000000118</v>
      </c>
      <c r="J854">
        <v>3322900</v>
      </c>
      <c r="K854">
        <v>-4.3887147335423198E-2</v>
      </c>
      <c r="L854">
        <v>-14</v>
      </c>
      <c r="M854">
        <f t="shared" si="55"/>
        <v>-1.0395094712942211E-2</v>
      </c>
      <c r="N854">
        <v>319</v>
      </c>
    </row>
    <row r="855" spans="1:14" x14ac:dyDescent="0.25">
      <c r="A855" s="1">
        <v>44340</v>
      </c>
      <c r="B855" s="1">
        <f t="shared" si="52"/>
        <v>2021</v>
      </c>
      <c r="C855" s="1" t="str">
        <f t="shared" si="53"/>
        <v>May</v>
      </c>
      <c r="D855">
        <v>501.04998799999998</v>
      </c>
      <c r="E855">
        <v>504.25</v>
      </c>
      <c r="F855">
        <v>499.51001000000002</v>
      </c>
      <c r="G855">
        <v>502.89999399999999</v>
      </c>
      <c r="H855">
        <v>502.89999399999999</v>
      </c>
      <c r="I855">
        <f t="shared" si="54"/>
        <v>1.8500060000000076</v>
      </c>
      <c r="J855">
        <v>2412600</v>
      </c>
      <c r="K855">
        <v>-8.5972850678733004E-2</v>
      </c>
      <c r="L855">
        <v>-19</v>
      </c>
      <c r="M855">
        <f t="shared" si="55"/>
        <v>3.6922583460874321E-3</v>
      </c>
      <c r="N855">
        <v>221</v>
      </c>
    </row>
    <row r="856" spans="1:14" x14ac:dyDescent="0.25">
      <c r="A856" s="1">
        <v>44341</v>
      </c>
      <c r="B856" s="1">
        <f t="shared" si="52"/>
        <v>2021</v>
      </c>
      <c r="C856" s="1" t="str">
        <f t="shared" si="53"/>
        <v>May</v>
      </c>
      <c r="D856">
        <v>506</v>
      </c>
      <c r="E856">
        <v>506.36999500000002</v>
      </c>
      <c r="F856">
        <v>499.22000100000002</v>
      </c>
      <c r="G856">
        <v>501.33999599999999</v>
      </c>
      <c r="H856">
        <v>501.33999599999999</v>
      </c>
      <c r="I856">
        <f t="shared" si="54"/>
        <v>-4.6600040000000149</v>
      </c>
      <c r="J856">
        <v>2699500</v>
      </c>
      <c r="K856">
        <v>-1.33928571428571E-2</v>
      </c>
      <c r="L856">
        <v>-3</v>
      </c>
      <c r="M856">
        <f t="shared" si="55"/>
        <v>-9.209494071146275E-3</v>
      </c>
      <c r="N856">
        <v>224</v>
      </c>
    </row>
    <row r="857" spans="1:14" x14ac:dyDescent="0.25">
      <c r="A857" s="1">
        <v>44342</v>
      </c>
      <c r="B857" s="1">
        <f t="shared" si="52"/>
        <v>2021</v>
      </c>
      <c r="C857" s="1" t="str">
        <f t="shared" si="53"/>
        <v>May</v>
      </c>
      <c r="D857">
        <v>502.33999599999999</v>
      </c>
      <c r="E857">
        <v>504.14001500000001</v>
      </c>
      <c r="F857">
        <v>500.5</v>
      </c>
      <c r="G857">
        <v>502.35998499999999</v>
      </c>
      <c r="H857">
        <v>502.35998499999999</v>
      </c>
      <c r="I857">
        <f t="shared" si="54"/>
        <v>1.9989000000009582E-2</v>
      </c>
      <c r="J857">
        <v>2465300</v>
      </c>
      <c r="K857">
        <v>-4.9549549549549501E-2</v>
      </c>
      <c r="L857">
        <v>-11</v>
      </c>
      <c r="M857">
        <f t="shared" si="55"/>
        <v>3.9791774812232121E-5</v>
      </c>
      <c r="N857">
        <v>222</v>
      </c>
    </row>
    <row r="858" spans="1:14" x14ac:dyDescent="0.25">
      <c r="A858" s="1">
        <v>44343</v>
      </c>
      <c r="B858" s="1">
        <f t="shared" si="52"/>
        <v>2021</v>
      </c>
      <c r="C858" s="1" t="str">
        <f t="shared" si="53"/>
        <v>May</v>
      </c>
      <c r="D858">
        <v>501.79998799999998</v>
      </c>
      <c r="E858">
        <v>505.10000600000001</v>
      </c>
      <c r="F858">
        <v>498.540009</v>
      </c>
      <c r="G858">
        <v>503.85998499999999</v>
      </c>
      <c r="H858">
        <v>503.85998499999999</v>
      </c>
      <c r="I858">
        <f t="shared" si="54"/>
        <v>2.0599970000000098</v>
      </c>
      <c r="J858">
        <v>3253800</v>
      </c>
      <c r="K858">
        <v>-9.7938144329896906E-2</v>
      </c>
      <c r="L858">
        <v>-19</v>
      </c>
      <c r="M858">
        <f t="shared" si="55"/>
        <v>4.1052153233610876E-3</v>
      </c>
      <c r="N858">
        <v>194</v>
      </c>
    </row>
    <row r="859" spans="1:14" x14ac:dyDescent="0.25">
      <c r="A859" s="1">
        <v>44344</v>
      </c>
      <c r="B859" s="1">
        <f t="shared" si="52"/>
        <v>2021</v>
      </c>
      <c r="C859" s="1" t="str">
        <f t="shared" si="53"/>
        <v>May</v>
      </c>
      <c r="D859">
        <v>504.39999399999999</v>
      </c>
      <c r="E859">
        <v>511.76001000000002</v>
      </c>
      <c r="F859">
        <v>502.52999899999998</v>
      </c>
      <c r="G859">
        <v>502.80999800000001</v>
      </c>
      <c r="H859">
        <v>502.80999800000001</v>
      </c>
      <c r="I859">
        <f t="shared" si="54"/>
        <v>-1.5899959999999851</v>
      </c>
      <c r="J859">
        <v>2910300</v>
      </c>
      <c r="K859">
        <v>-8.0402010050251202E-2</v>
      </c>
      <c r="L859">
        <v>-16</v>
      </c>
      <c r="M859">
        <f t="shared" si="55"/>
        <v>-3.152252218305905E-3</v>
      </c>
      <c r="N859">
        <v>199</v>
      </c>
    </row>
    <row r="860" spans="1:14" x14ac:dyDescent="0.25">
      <c r="A860" s="1">
        <v>44348</v>
      </c>
      <c r="B860" s="1">
        <f t="shared" si="52"/>
        <v>2021</v>
      </c>
      <c r="C860" s="1" t="str">
        <f t="shared" si="53"/>
        <v>Jun</v>
      </c>
      <c r="D860">
        <v>504.01001000000002</v>
      </c>
      <c r="E860">
        <v>505.41000400000001</v>
      </c>
      <c r="F860">
        <v>497.73998999999998</v>
      </c>
      <c r="G860">
        <v>499.07998700000002</v>
      </c>
      <c r="H860">
        <v>499.07998700000002</v>
      </c>
      <c r="I860">
        <f t="shared" si="54"/>
        <v>-4.9300230000000056</v>
      </c>
      <c r="J860">
        <v>2482600</v>
      </c>
      <c r="K860">
        <v>-6.8750000000000006E-2</v>
      </c>
      <c r="L860">
        <v>-11</v>
      </c>
      <c r="M860">
        <f t="shared" si="55"/>
        <v>-9.7815973932740049E-3</v>
      </c>
      <c r="N860">
        <v>160</v>
      </c>
    </row>
    <row r="861" spans="1:14" x14ac:dyDescent="0.25">
      <c r="A861" s="1">
        <v>44349</v>
      </c>
      <c r="B861" s="1">
        <f t="shared" si="52"/>
        <v>2021</v>
      </c>
      <c r="C861" s="1" t="str">
        <f t="shared" si="53"/>
        <v>Jun</v>
      </c>
      <c r="D861">
        <v>499.82000699999998</v>
      </c>
      <c r="E861">
        <v>503.22000100000002</v>
      </c>
      <c r="F861">
        <v>495.82000699999998</v>
      </c>
      <c r="G861">
        <v>499.23998999999998</v>
      </c>
      <c r="H861">
        <v>499.23998999999998</v>
      </c>
      <c r="I861">
        <f t="shared" si="54"/>
        <v>-0.58001699999999801</v>
      </c>
      <c r="J861">
        <v>2269000</v>
      </c>
      <c r="K861">
        <v>-0.15730337078651599</v>
      </c>
      <c r="L861">
        <v>-28</v>
      </c>
      <c r="M861">
        <f t="shared" si="55"/>
        <v>-1.1604517463823692E-3</v>
      </c>
      <c r="N861">
        <v>178</v>
      </c>
    </row>
    <row r="862" spans="1:14" x14ac:dyDescent="0.25">
      <c r="A862" s="1">
        <v>44350</v>
      </c>
      <c r="B862" s="1">
        <f t="shared" si="52"/>
        <v>2021</v>
      </c>
      <c r="C862" s="1" t="str">
        <f t="shared" si="53"/>
        <v>Jun</v>
      </c>
      <c r="D862">
        <v>495.19000199999999</v>
      </c>
      <c r="E862">
        <v>496.66000400000001</v>
      </c>
      <c r="F862">
        <v>487.25</v>
      </c>
      <c r="G862">
        <v>489.42999300000002</v>
      </c>
      <c r="H862">
        <v>489.42999300000002</v>
      </c>
      <c r="I862">
        <f t="shared" si="54"/>
        <v>-5.7600089999999682</v>
      </c>
      <c r="J862">
        <v>3887400</v>
      </c>
      <c r="K862">
        <v>-6.19469026548672E-2</v>
      </c>
      <c r="L862">
        <v>-14</v>
      </c>
      <c r="M862">
        <f t="shared" si="55"/>
        <v>-1.163191699496382E-2</v>
      </c>
      <c r="N862">
        <v>226</v>
      </c>
    </row>
    <row r="863" spans="1:14" x14ac:dyDescent="0.25">
      <c r="A863" s="1">
        <v>44351</v>
      </c>
      <c r="B863" s="1">
        <f t="shared" si="52"/>
        <v>2021</v>
      </c>
      <c r="C863" s="1" t="str">
        <f t="shared" si="53"/>
        <v>Jun</v>
      </c>
      <c r="D863">
        <v>492</v>
      </c>
      <c r="E863">
        <v>501.85998499999999</v>
      </c>
      <c r="F863">
        <v>490.95001200000002</v>
      </c>
      <c r="G863">
        <v>494.73998999999998</v>
      </c>
      <c r="H863">
        <v>494.73998999999998</v>
      </c>
      <c r="I863">
        <f t="shared" si="54"/>
        <v>2.7399899999999775</v>
      </c>
      <c r="J863">
        <v>3160500</v>
      </c>
      <c r="K863">
        <v>-4.7904191616766401E-2</v>
      </c>
      <c r="L863">
        <v>-8</v>
      </c>
      <c r="M863">
        <f t="shared" si="55"/>
        <v>5.5690853658536127E-3</v>
      </c>
      <c r="N863">
        <v>167</v>
      </c>
    </row>
    <row r="864" spans="1:14" x14ac:dyDescent="0.25">
      <c r="A864" s="1">
        <v>44354</v>
      </c>
      <c r="B864" s="1">
        <f t="shared" si="52"/>
        <v>2021</v>
      </c>
      <c r="C864" s="1" t="str">
        <f t="shared" si="53"/>
        <v>Jun</v>
      </c>
      <c r="D864">
        <v>492.92001299999998</v>
      </c>
      <c r="E864">
        <v>496.70001200000002</v>
      </c>
      <c r="F864">
        <v>490.54998799999998</v>
      </c>
      <c r="G864">
        <v>494.66000400000001</v>
      </c>
      <c r="H864">
        <v>494.66000400000001</v>
      </c>
      <c r="I864">
        <f t="shared" si="54"/>
        <v>1.7399910000000318</v>
      </c>
      <c r="J864">
        <v>2791900</v>
      </c>
      <c r="K864">
        <v>-4.3062200956937802E-2</v>
      </c>
      <c r="L864">
        <v>-9</v>
      </c>
      <c r="M864">
        <f t="shared" si="55"/>
        <v>3.5299662300382838E-3</v>
      </c>
      <c r="N864">
        <v>209</v>
      </c>
    </row>
    <row r="865" spans="1:14" x14ac:dyDescent="0.25">
      <c r="A865" s="1">
        <v>44355</v>
      </c>
      <c r="B865" s="1">
        <f t="shared" si="52"/>
        <v>2021</v>
      </c>
      <c r="C865" s="1" t="str">
        <f t="shared" si="53"/>
        <v>Jun</v>
      </c>
      <c r="D865">
        <v>497</v>
      </c>
      <c r="E865">
        <v>498.82000699999998</v>
      </c>
      <c r="F865">
        <v>489.36999500000002</v>
      </c>
      <c r="G865">
        <v>492.39001500000001</v>
      </c>
      <c r="H865">
        <v>492.39001500000001</v>
      </c>
      <c r="I865">
        <f t="shared" si="54"/>
        <v>-4.6099849999999947</v>
      </c>
      <c r="J865">
        <v>2374000</v>
      </c>
      <c r="K865">
        <v>-3.6036036036036001E-2</v>
      </c>
      <c r="L865">
        <v>-8</v>
      </c>
      <c r="M865">
        <f t="shared" si="55"/>
        <v>-9.2756237424547177E-3</v>
      </c>
      <c r="N865">
        <v>222</v>
      </c>
    </row>
    <row r="866" spans="1:14" x14ac:dyDescent="0.25">
      <c r="A866" s="1">
        <v>44356</v>
      </c>
      <c r="B866" s="1">
        <f t="shared" si="52"/>
        <v>2021</v>
      </c>
      <c r="C866" s="1" t="str">
        <f t="shared" si="53"/>
        <v>Jun</v>
      </c>
      <c r="D866">
        <v>494.5</v>
      </c>
      <c r="E866">
        <v>496.08999599999999</v>
      </c>
      <c r="F866">
        <v>484.64999399999999</v>
      </c>
      <c r="G866">
        <v>485.80999800000001</v>
      </c>
      <c r="H866">
        <v>485.80999800000001</v>
      </c>
      <c r="I866">
        <f t="shared" si="54"/>
        <v>-8.6900019999999927</v>
      </c>
      <c r="J866">
        <v>3055000</v>
      </c>
      <c r="K866">
        <v>-0.162650602409638</v>
      </c>
      <c r="L866">
        <v>-27</v>
      </c>
      <c r="M866">
        <f t="shared" si="55"/>
        <v>-1.7573310414560148E-2</v>
      </c>
      <c r="N866">
        <v>166</v>
      </c>
    </row>
    <row r="867" spans="1:14" x14ac:dyDescent="0.25">
      <c r="A867" s="1">
        <v>44357</v>
      </c>
      <c r="B867" s="1">
        <f t="shared" si="52"/>
        <v>2021</v>
      </c>
      <c r="C867" s="1" t="str">
        <f t="shared" si="53"/>
        <v>Jun</v>
      </c>
      <c r="D867">
        <v>487.17001299999998</v>
      </c>
      <c r="E867">
        <v>490.209991</v>
      </c>
      <c r="F867">
        <v>482.14001500000001</v>
      </c>
      <c r="G867">
        <v>487.26998900000001</v>
      </c>
      <c r="H867">
        <v>487.26998900000001</v>
      </c>
      <c r="I867">
        <f t="shared" si="54"/>
        <v>9.9976000000026488E-2</v>
      </c>
      <c r="J867">
        <v>4382900</v>
      </c>
      <c r="K867">
        <v>-8.0586080586080494E-2</v>
      </c>
      <c r="L867">
        <v>-22</v>
      </c>
      <c r="M867">
        <f t="shared" si="55"/>
        <v>2.0521788560911791E-4</v>
      </c>
      <c r="N867">
        <v>273</v>
      </c>
    </row>
    <row r="868" spans="1:14" x14ac:dyDescent="0.25">
      <c r="A868" s="1">
        <v>44358</v>
      </c>
      <c r="B868" s="1">
        <f t="shared" si="52"/>
        <v>2021</v>
      </c>
      <c r="C868" s="1" t="str">
        <f t="shared" si="53"/>
        <v>Jun</v>
      </c>
      <c r="D868">
        <v>490</v>
      </c>
      <c r="E868">
        <v>491.41000400000001</v>
      </c>
      <c r="F868">
        <v>487.77999899999998</v>
      </c>
      <c r="G868">
        <v>488.76998900000001</v>
      </c>
      <c r="H868">
        <v>488.76998900000001</v>
      </c>
      <c r="I868">
        <f t="shared" si="54"/>
        <v>-1.2300109999999904</v>
      </c>
      <c r="J868">
        <v>3124000</v>
      </c>
      <c r="K868">
        <v>-2.69230769230769E-2</v>
      </c>
      <c r="L868">
        <v>-7</v>
      </c>
      <c r="M868">
        <f t="shared" si="55"/>
        <v>-2.5102265306122255E-3</v>
      </c>
      <c r="N868">
        <v>260</v>
      </c>
    </row>
    <row r="869" spans="1:14" x14ac:dyDescent="0.25">
      <c r="A869" s="1">
        <v>44361</v>
      </c>
      <c r="B869" s="1">
        <f t="shared" si="52"/>
        <v>2021</v>
      </c>
      <c r="C869" s="1" t="str">
        <f t="shared" si="53"/>
        <v>Jun</v>
      </c>
      <c r="D869">
        <v>489.67999300000002</v>
      </c>
      <c r="E869">
        <v>503.5</v>
      </c>
      <c r="F869">
        <v>486.91000400000001</v>
      </c>
      <c r="G869">
        <v>499.89001500000001</v>
      </c>
      <c r="H869">
        <v>499.89001500000001</v>
      </c>
      <c r="I869">
        <f t="shared" si="54"/>
        <v>10.210021999999981</v>
      </c>
      <c r="J869">
        <v>4400200</v>
      </c>
      <c r="K869">
        <v>5.9659090909090898E-2</v>
      </c>
      <c r="L869">
        <v>21</v>
      </c>
      <c r="M869">
        <f t="shared" si="55"/>
        <v>2.0850396475152664E-2</v>
      </c>
      <c r="N869">
        <v>352</v>
      </c>
    </row>
    <row r="870" spans="1:14" x14ac:dyDescent="0.25">
      <c r="A870" s="1">
        <v>44362</v>
      </c>
      <c r="B870" s="1">
        <f t="shared" si="52"/>
        <v>2021</v>
      </c>
      <c r="C870" s="1" t="str">
        <f t="shared" si="53"/>
        <v>Jun</v>
      </c>
      <c r="D870">
        <v>501.23001099999999</v>
      </c>
      <c r="E870">
        <v>501.23001099999999</v>
      </c>
      <c r="F870">
        <v>490.39999399999999</v>
      </c>
      <c r="G870">
        <v>491.89999399999999</v>
      </c>
      <c r="H870">
        <v>491.89999399999999</v>
      </c>
      <c r="I870">
        <f t="shared" si="54"/>
        <v>-9.330016999999998</v>
      </c>
      <c r="J870">
        <v>3104100</v>
      </c>
      <c r="K870">
        <v>-6.0465116279069697E-2</v>
      </c>
      <c r="L870">
        <v>-13</v>
      </c>
      <c r="M870">
        <f t="shared" si="55"/>
        <v>-1.8614242553804301E-2</v>
      </c>
      <c r="N870">
        <v>215</v>
      </c>
    </row>
    <row r="871" spans="1:14" x14ac:dyDescent="0.25">
      <c r="A871" s="1">
        <v>44363</v>
      </c>
      <c r="B871" s="1">
        <f t="shared" si="52"/>
        <v>2021</v>
      </c>
      <c r="C871" s="1" t="str">
        <f t="shared" si="53"/>
        <v>Jun</v>
      </c>
      <c r="D871">
        <v>495</v>
      </c>
      <c r="E871">
        <v>496.459991</v>
      </c>
      <c r="F871">
        <v>486.27999899999998</v>
      </c>
      <c r="G871">
        <v>492.41000400000001</v>
      </c>
      <c r="H871">
        <v>492.41000400000001</v>
      </c>
      <c r="I871">
        <f t="shared" si="54"/>
        <v>-2.5899959999999851</v>
      </c>
      <c r="J871">
        <v>3533200</v>
      </c>
      <c r="K871">
        <v>-7.69230769230769E-2</v>
      </c>
      <c r="L871">
        <v>-13</v>
      </c>
      <c r="M871">
        <f t="shared" si="55"/>
        <v>-5.2323151515151212E-3</v>
      </c>
      <c r="N871">
        <v>169</v>
      </c>
    </row>
    <row r="872" spans="1:14" x14ac:dyDescent="0.25">
      <c r="A872" s="1">
        <v>44364</v>
      </c>
      <c r="B872" s="1">
        <f t="shared" si="52"/>
        <v>2021</v>
      </c>
      <c r="C872" s="1" t="str">
        <f t="shared" si="53"/>
        <v>Jun</v>
      </c>
      <c r="D872">
        <v>490.25</v>
      </c>
      <c r="E872">
        <v>501.79998799999998</v>
      </c>
      <c r="F872">
        <v>490.14999399999999</v>
      </c>
      <c r="G872">
        <v>498.33999599999999</v>
      </c>
      <c r="H872">
        <v>498.33999599999999</v>
      </c>
      <c r="I872">
        <f t="shared" si="54"/>
        <v>8.0899959999999851</v>
      </c>
      <c r="J872">
        <v>3198300</v>
      </c>
      <c r="K872">
        <v>-7.8125E-2</v>
      </c>
      <c r="L872">
        <v>-25</v>
      </c>
      <c r="M872">
        <f t="shared" si="55"/>
        <v>1.6501776644569068E-2</v>
      </c>
      <c r="N872">
        <v>320</v>
      </c>
    </row>
    <row r="873" spans="1:14" x14ac:dyDescent="0.25">
      <c r="A873" s="1">
        <v>44365</v>
      </c>
      <c r="B873" s="1">
        <f t="shared" si="52"/>
        <v>2021</v>
      </c>
      <c r="C873" s="1" t="str">
        <f t="shared" si="53"/>
        <v>Jun</v>
      </c>
      <c r="D873">
        <v>496.39999399999999</v>
      </c>
      <c r="E873">
        <v>504.48998999999998</v>
      </c>
      <c r="F873">
        <v>495.23998999999998</v>
      </c>
      <c r="G873">
        <v>500.76998900000001</v>
      </c>
      <c r="H873">
        <v>500.76998900000001</v>
      </c>
      <c r="I873">
        <f t="shared" si="54"/>
        <v>4.3699950000000172</v>
      </c>
      <c r="J873">
        <v>5197600</v>
      </c>
      <c r="K873">
        <v>-3.1007751937984399E-2</v>
      </c>
      <c r="L873">
        <v>-8</v>
      </c>
      <c r="M873">
        <f t="shared" si="55"/>
        <v>8.8033744013301038E-3</v>
      </c>
      <c r="N873">
        <v>258</v>
      </c>
    </row>
    <row r="874" spans="1:14" x14ac:dyDescent="0.25">
      <c r="A874" s="1">
        <v>44368</v>
      </c>
      <c r="B874" s="1">
        <f t="shared" si="52"/>
        <v>2021</v>
      </c>
      <c r="C874" s="1" t="str">
        <f t="shared" si="53"/>
        <v>Jun</v>
      </c>
      <c r="D874">
        <v>501.64001500000001</v>
      </c>
      <c r="E874">
        <v>502.04998799999998</v>
      </c>
      <c r="F874">
        <v>492.27999899999998</v>
      </c>
      <c r="G874">
        <v>497</v>
      </c>
      <c r="H874">
        <v>497</v>
      </c>
      <c r="I874">
        <f t="shared" si="54"/>
        <v>-4.6400150000000053</v>
      </c>
      <c r="J874">
        <v>5277300</v>
      </c>
      <c r="K874">
        <v>-5.6603773584905599E-2</v>
      </c>
      <c r="L874">
        <v>-21</v>
      </c>
      <c r="M874">
        <f t="shared" si="55"/>
        <v>-9.2496907368922812E-3</v>
      </c>
      <c r="N874">
        <v>371</v>
      </c>
    </row>
    <row r="875" spans="1:14" x14ac:dyDescent="0.25">
      <c r="A875" s="1">
        <v>44369</v>
      </c>
      <c r="B875" s="1">
        <f t="shared" si="52"/>
        <v>2021</v>
      </c>
      <c r="C875" s="1" t="str">
        <f t="shared" si="53"/>
        <v>Jun</v>
      </c>
      <c r="D875">
        <v>498.540009</v>
      </c>
      <c r="E875">
        <v>513.54998799999998</v>
      </c>
      <c r="F875">
        <v>495.79998799999998</v>
      </c>
      <c r="G875">
        <v>508.82000699999998</v>
      </c>
      <c r="H875">
        <v>508.82000699999998</v>
      </c>
      <c r="I875">
        <f t="shared" si="54"/>
        <v>10.279997999999978</v>
      </c>
      <c r="J875">
        <v>5809300</v>
      </c>
      <c r="K875">
        <v>1.8975332068311101E-2</v>
      </c>
      <c r="L875">
        <v>10</v>
      </c>
      <c r="M875">
        <f t="shared" si="55"/>
        <v>2.0620206632202268E-2</v>
      </c>
      <c r="N875">
        <v>527</v>
      </c>
    </row>
    <row r="876" spans="1:14" x14ac:dyDescent="0.25">
      <c r="A876" s="1">
        <v>44370</v>
      </c>
      <c r="B876" s="1">
        <f t="shared" si="52"/>
        <v>2021</v>
      </c>
      <c r="C876" s="1" t="str">
        <f t="shared" si="53"/>
        <v>Jun</v>
      </c>
      <c r="D876">
        <v>508.48001099999999</v>
      </c>
      <c r="E876">
        <v>516.63000499999998</v>
      </c>
      <c r="F876">
        <v>508.20001200000002</v>
      </c>
      <c r="G876">
        <v>512.73999000000003</v>
      </c>
      <c r="H876">
        <v>512.73999000000003</v>
      </c>
      <c r="I876">
        <f t="shared" si="54"/>
        <v>4.2599790000000439</v>
      </c>
      <c r="J876">
        <v>3944800</v>
      </c>
      <c r="K876">
        <v>4.5045045045045001E-3</v>
      </c>
      <c r="L876">
        <v>2</v>
      </c>
      <c r="M876">
        <f t="shared" si="55"/>
        <v>8.3778691548211989E-3</v>
      </c>
      <c r="N876">
        <v>444</v>
      </c>
    </row>
    <row r="877" spans="1:14" x14ac:dyDescent="0.25">
      <c r="A877" s="1">
        <v>44371</v>
      </c>
      <c r="B877" s="1">
        <f t="shared" si="52"/>
        <v>2021</v>
      </c>
      <c r="C877" s="1" t="str">
        <f t="shared" si="53"/>
        <v>Jun</v>
      </c>
      <c r="D877">
        <v>517.96002199999998</v>
      </c>
      <c r="E877">
        <v>520.96002199999998</v>
      </c>
      <c r="F877">
        <v>514.40002400000003</v>
      </c>
      <c r="G877">
        <v>518.05999799999995</v>
      </c>
      <c r="H877">
        <v>518.05999799999995</v>
      </c>
      <c r="I877">
        <f t="shared" si="54"/>
        <v>9.9975999999969645E-2</v>
      </c>
      <c r="J877">
        <v>3361200</v>
      </c>
      <c r="K877">
        <v>-2.8218694885361498E-2</v>
      </c>
      <c r="L877">
        <v>-16</v>
      </c>
      <c r="M877">
        <f t="shared" si="55"/>
        <v>1.9301875772947136E-4</v>
      </c>
      <c r="N877">
        <v>567</v>
      </c>
    </row>
    <row r="878" spans="1:14" x14ac:dyDescent="0.25">
      <c r="A878" s="1">
        <v>44372</v>
      </c>
      <c r="B878" s="1">
        <f t="shared" si="52"/>
        <v>2021</v>
      </c>
      <c r="C878" s="1" t="str">
        <f t="shared" si="53"/>
        <v>Jun</v>
      </c>
      <c r="D878">
        <v>528.84002699999996</v>
      </c>
      <c r="E878">
        <v>533.05999799999995</v>
      </c>
      <c r="F878">
        <v>525</v>
      </c>
      <c r="G878">
        <v>527.07000700000003</v>
      </c>
      <c r="H878">
        <v>527.07000700000003</v>
      </c>
      <c r="I878">
        <f t="shared" si="54"/>
        <v>-1.7700199999999313</v>
      </c>
      <c r="J878">
        <v>5299100</v>
      </c>
      <c r="K878">
        <v>2.25165562913907E-2</v>
      </c>
      <c r="L878">
        <v>17</v>
      </c>
      <c r="M878">
        <f t="shared" si="55"/>
        <v>-3.3469856849544623E-3</v>
      </c>
      <c r="N878">
        <v>755</v>
      </c>
    </row>
    <row r="879" spans="1:14" x14ac:dyDescent="0.25">
      <c r="A879" s="1">
        <v>44375</v>
      </c>
      <c r="B879" s="1">
        <f t="shared" si="52"/>
        <v>2021</v>
      </c>
      <c r="C879" s="1" t="str">
        <f t="shared" si="53"/>
        <v>Jun</v>
      </c>
      <c r="D879">
        <v>528.11999500000002</v>
      </c>
      <c r="E879">
        <v>533.94000200000005</v>
      </c>
      <c r="F879">
        <v>524.55999799999995</v>
      </c>
      <c r="G879">
        <v>533.03002900000001</v>
      </c>
      <c r="H879">
        <v>533.03002900000001</v>
      </c>
      <c r="I879">
        <f t="shared" si="54"/>
        <v>4.910033999999996</v>
      </c>
      <c r="J879">
        <v>2820200</v>
      </c>
      <c r="K879">
        <v>-3.3018867924528301E-2</v>
      </c>
      <c r="L879">
        <v>-14</v>
      </c>
      <c r="M879">
        <f t="shared" si="55"/>
        <v>9.2971939076080534E-3</v>
      </c>
      <c r="N879">
        <v>424</v>
      </c>
    </row>
    <row r="880" spans="1:14" x14ac:dyDescent="0.25">
      <c r="A880" s="1">
        <v>44376</v>
      </c>
      <c r="B880" s="1">
        <f t="shared" si="52"/>
        <v>2021</v>
      </c>
      <c r="C880" s="1" t="str">
        <f t="shared" si="53"/>
        <v>Jun</v>
      </c>
      <c r="D880">
        <v>533.54998799999998</v>
      </c>
      <c r="E880">
        <v>536.13000499999998</v>
      </c>
      <c r="F880">
        <v>528.57000700000003</v>
      </c>
      <c r="G880">
        <v>533.5</v>
      </c>
      <c r="H880">
        <v>533.5</v>
      </c>
      <c r="I880">
        <f t="shared" si="54"/>
        <v>-4.9987999999984822E-2</v>
      </c>
      <c r="J880">
        <v>2314600</v>
      </c>
      <c r="K880">
        <v>-4.0677966101694898E-2</v>
      </c>
      <c r="L880">
        <v>-12</v>
      </c>
      <c r="M880">
        <f t="shared" si="55"/>
        <v>-9.3689440772670062E-5</v>
      </c>
      <c r="N880">
        <v>295</v>
      </c>
    </row>
    <row r="881" spans="1:14" x14ac:dyDescent="0.25">
      <c r="A881" s="1">
        <v>44377</v>
      </c>
      <c r="B881" s="1">
        <f t="shared" si="52"/>
        <v>2021</v>
      </c>
      <c r="C881" s="1" t="str">
        <f t="shared" si="53"/>
        <v>Jun</v>
      </c>
      <c r="D881">
        <v>534.05999799999995</v>
      </c>
      <c r="E881">
        <v>534.38000499999998</v>
      </c>
      <c r="F881">
        <v>526.82000700000003</v>
      </c>
      <c r="G881">
        <v>528.21002199999998</v>
      </c>
      <c r="H881">
        <v>528.21002199999998</v>
      </c>
      <c r="I881">
        <f t="shared" si="54"/>
        <v>-5.8499759999999696</v>
      </c>
      <c r="J881">
        <v>2773400</v>
      </c>
      <c r="K881">
        <v>-7.4074074074074001E-2</v>
      </c>
      <c r="L881">
        <v>-18</v>
      </c>
      <c r="M881">
        <f t="shared" si="55"/>
        <v>-1.0953780515124764E-2</v>
      </c>
      <c r="N881">
        <v>243</v>
      </c>
    </row>
    <row r="882" spans="1:14" x14ac:dyDescent="0.25">
      <c r="A882" s="1">
        <v>44378</v>
      </c>
      <c r="B882" s="1">
        <f t="shared" si="52"/>
        <v>2021</v>
      </c>
      <c r="C882" s="1" t="str">
        <f t="shared" si="53"/>
        <v>Jul</v>
      </c>
      <c r="D882">
        <v>525.71997099999999</v>
      </c>
      <c r="E882">
        <v>537.03997800000002</v>
      </c>
      <c r="F882">
        <v>525.71997099999999</v>
      </c>
      <c r="G882">
        <v>533.53997800000002</v>
      </c>
      <c r="H882">
        <v>533.53997800000002</v>
      </c>
      <c r="I882">
        <f t="shared" si="54"/>
        <v>7.8200070000000323</v>
      </c>
      <c r="J882">
        <v>2805400</v>
      </c>
      <c r="K882">
        <v>-4.0133779264213999E-2</v>
      </c>
      <c r="L882">
        <v>-12</v>
      </c>
      <c r="M882">
        <f t="shared" si="55"/>
        <v>1.4874852452580753E-2</v>
      </c>
      <c r="N882">
        <v>299</v>
      </c>
    </row>
    <row r="883" spans="1:14" x14ac:dyDescent="0.25">
      <c r="A883" s="1">
        <v>44379</v>
      </c>
      <c r="B883" s="1">
        <f t="shared" si="52"/>
        <v>2021</v>
      </c>
      <c r="C883" s="1" t="str">
        <f t="shared" si="53"/>
        <v>Jul</v>
      </c>
      <c r="D883">
        <v>535.5</v>
      </c>
      <c r="E883">
        <v>538.53997800000002</v>
      </c>
      <c r="F883">
        <v>529.39001499999995</v>
      </c>
      <c r="G883">
        <v>533.97997999999995</v>
      </c>
      <c r="H883">
        <v>533.97997999999995</v>
      </c>
      <c r="I883">
        <f t="shared" si="54"/>
        <v>-1.520020000000045</v>
      </c>
      <c r="J883">
        <v>1975500</v>
      </c>
      <c r="K883">
        <v>-6.0975609756097497E-2</v>
      </c>
      <c r="L883">
        <v>-15</v>
      </c>
      <c r="M883">
        <f t="shared" si="55"/>
        <v>-2.8385060690943884E-3</v>
      </c>
      <c r="N883">
        <v>246</v>
      </c>
    </row>
    <row r="884" spans="1:14" x14ac:dyDescent="0.25">
      <c r="A884" s="1">
        <v>44383</v>
      </c>
      <c r="B884" s="1">
        <f t="shared" si="52"/>
        <v>2021</v>
      </c>
      <c r="C884" s="1" t="str">
        <f t="shared" si="53"/>
        <v>Jul</v>
      </c>
      <c r="D884">
        <v>533</v>
      </c>
      <c r="E884">
        <v>542.85998500000005</v>
      </c>
      <c r="F884">
        <v>533</v>
      </c>
      <c r="G884">
        <v>541.64001499999995</v>
      </c>
      <c r="H884">
        <v>541.64001499999995</v>
      </c>
      <c r="I884">
        <f t="shared" si="54"/>
        <v>8.6400149999999485</v>
      </c>
      <c r="J884">
        <v>2775100</v>
      </c>
      <c r="K884">
        <v>3.5623409669211098E-2</v>
      </c>
      <c r="L884">
        <v>14</v>
      </c>
      <c r="M884">
        <f t="shared" si="55"/>
        <v>1.6210159474671575E-2</v>
      </c>
      <c r="N884">
        <v>393</v>
      </c>
    </row>
    <row r="885" spans="1:14" x14ac:dyDescent="0.25">
      <c r="A885" s="1">
        <v>44384</v>
      </c>
      <c r="B885" s="1">
        <f t="shared" si="52"/>
        <v>2021</v>
      </c>
      <c r="C885" s="1" t="str">
        <f t="shared" si="53"/>
        <v>Jul</v>
      </c>
      <c r="D885">
        <v>544.23999000000003</v>
      </c>
      <c r="E885">
        <v>544.64001499999995</v>
      </c>
      <c r="F885">
        <v>531.65997300000004</v>
      </c>
      <c r="G885">
        <v>535.96002199999998</v>
      </c>
      <c r="H885">
        <v>535.96002199999998</v>
      </c>
      <c r="I885">
        <f t="shared" si="54"/>
        <v>-8.2799680000000535</v>
      </c>
      <c r="J885">
        <v>2722500</v>
      </c>
      <c r="K885">
        <v>-6.8493150684931503E-2</v>
      </c>
      <c r="L885">
        <v>-20</v>
      </c>
      <c r="M885">
        <f t="shared" si="55"/>
        <v>-1.5213817713027763E-2</v>
      </c>
      <c r="N885">
        <v>292</v>
      </c>
    </row>
    <row r="886" spans="1:14" x14ac:dyDescent="0.25">
      <c r="A886" s="1">
        <v>44385</v>
      </c>
      <c r="B886" s="1">
        <f t="shared" si="52"/>
        <v>2021</v>
      </c>
      <c r="C886" s="1" t="str">
        <f t="shared" si="53"/>
        <v>Jul</v>
      </c>
      <c r="D886">
        <v>530.92999299999997</v>
      </c>
      <c r="E886">
        <v>535.5</v>
      </c>
      <c r="F886">
        <v>529.09002699999996</v>
      </c>
      <c r="G886">
        <v>530.76000999999997</v>
      </c>
      <c r="H886">
        <v>530.76000999999997</v>
      </c>
      <c r="I886">
        <f t="shared" si="54"/>
        <v>-0.16998300000000199</v>
      </c>
      <c r="J886">
        <v>3269000</v>
      </c>
      <c r="K886">
        <v>-0.100418410041841</v>
      </c>
      <c r="L886">
        <v>-24</v>
      </c>
      <c r="M886">
        <f t="shared" si="55"/>
        <v>-3.2016085405068087E-4</v>
      </c>
      <c r="N886">
        <v>239</v>
      </c>
    </row>
    <row r="887" spans="1:14" x14ac:dyDescent="0.25">
      <c r="A887" s="1">
        <v>44386</v>
      </c>
      <c r="B887" s="1">
        <f t="shared" si="52"/>
        <v>2021</v>
      </c>
      <c r="C887" s="1" t="str">
        <f t="shared" si="53"/>
        <v>Jul</v>
      </c>
      <c r="D887">
        <v>531</v>
      </c>
      <c r="E887">
        <v>538.26000999999997</v>
      </c>
      <c r="F887">
        <v>528.580017</v>
      </c>
      <c r="G887">
        <v>535.97997999999995</v>
      </c>
      <c r="H887">
        <v>535.97997999999995</v>
      </c>
      <c r="I887">
        <f t="shared" si="54"/>
        <v>4.979979999999955</v>
      </c>
      <c r="J887">
        <v>2777200</v>
      </c>
      <c r="K887">
        <v>-8.2125603864734303E-2</v>
      </c>
      <c r="L887">
        <v>-17</v>
      </c>
      <c r="M887">
        <f t="shared" si="55"/>
        <v>9.3784934086628153E-3</v>
      </c>
      <c r="N887">
        <v>207</v>
      </c>
    </row>
    <row r="888" spans="1:14" x14ac:dyDescent="0.25">
      <c r="A888" s="1">
        <v>44389</v>
      </c>
      <c r="B888" s="1">
        <f t="shared" si="52"/>
        <v>2021</v>
      </c>
      <c r="C888" s="1" t="str">
        <f t="shared" si="53"/>
        <v>Jul</v>
      </c>
      <c r="D888">
        <v>540.29998799999998</v>
      </c>
      <c r="E888">
        <v>540.65002400000003</v>
      </c>
      <c r="F888">
        <v>532.919983</v>
      </c>
      <c r="G888">
        <v>537.30999799999995</v>
      </c>
      <c r="H888">
        <v>537.30999799999995</v>
      </c>
      <c r="I888">
        <f t="shared" si="54"/>
        <v>-2.9899900000000343</v>
      </c>
      <c r="J888">
        <v>1780700</v>
      </c>
      <c r="K888">
        <v>-4.5045045045045001E-2</v>
      </c>
      <c r="L888">
        <v>-10</v>
      </c>
      <c r="M888">
        <f t="shared" si="55"/>
        <v>-5.5339442280351011E-3</v>
      </c>
      <c r="N888">
        <v>222</v>
      </c>
    </row>
    <row r="889" spans="1:14" x14ac:dyDescent="0.25">
      <c r="A889" s="1">
        <v>44390</v>
      </c>
      <c r="B889" s="1">
        <f t="shared" si="52"/>
        <v>2021</v>
      </c>
      <c r="C889" s="1" t="str">
        <f t="shared" si="53"/>
        <v>Jul</v>
      </c>
      <c r="D889">
        <v>535.76000999999997</v>
      </c>
      <c r="E889">
        <v>545.330017</v>
      </c>
      <c r="F889">
        <v>535.76000999999997</v>
      </c>
      <c r="G889">
        <v>540.67999299999997</v>
      </c>
      <c r="H889">
        <v>540.67999299999997</v>
      </c>
      <c r="I889">
        <f t="shared" si="54"/>
        <v>4.919983000000002</v>
      </c>
      <c r="J889">
        <v>2751600</v>
      </c>
      <c r="K889">
        <v>-3.2154340836012797E-2</v>
      </c>
      <c r="L889">
        <v>-10</v>
      </c>
      <c r="M889">
        <f t="shared" si="55"/>
        <v>9.1831844635063414E-3</v>
      </c>
      <c r="N889">
        <v>311</v>
      </c>
    </row>
    <row r="890" spans="1:14" x14ac:dyDescent="0.25">
      <c r="A890" s="1">
        <v>44391</v>
      </c>
      <c r="B890" s="1">
        <f t="shared" si="52"/>
        <v>2021</v>
      </c>
      <c r="C890" s="1" t="str">
        <f t="shared" si="53"/>
        <v>Jul</v>
      </c>
      <c r="D890">
        <v>541.01000999999997</v>
      </c>
      <c r="E890">
        <v>554.09997599999997</v>
      </c>
      <c r="F890">
        <v>541.01000999999997</v>
      </c>
      <c r="G890">
        <v>547.95001200000002</v>
      </c>
      <c r="H890">
        <v>547.95001200000002</v>
      </c>
      <c r="I890">
        <f t="shared" si="54"/>
        <v>6.9400020000000495</v>
      </c>
      <c r="J890">
        <v>4659500</v>
      </c>
      <c r="K890">
        <v>-4.9261083743842001E-3</v>
      </c>
      <c r="L890">
        <v>-3</v>
      </c>
      <c r="M890">
        <f t="shared" si="55"/>
        <v>1.2827862464134535E-2</v>
      </c>
      <c r="N890">
        <v>609</v>
      </c>
    </row>
    <row r="891" spans="1:14" x14ac:dyDescent="0.25">
      <c r="A891" s="1">
        <v>44392</v>
      </c>
      <c r="B891" s="1">
        <f t="shared" si="52"/>
        <v>2021</v>
      </c>
      <c r="C891" s="1" t="str">
        <f t="shared" si="53"/>
        <v>Jul</v>
      </c>
      <c r="D891">
        <v>553.96997099999999</v>
      </c>
      <c r="E891">
        <v>557.53997800000002</v>
      </c>
      <c r="F891">
        <v>538.20001200000002</v>
      </c>
      <c r="G891">
        <v>542.95001200000002</v>
      </c>
      <c r="H891">
        <v>542.95001200000002</v>
      </c>
      <c r="I891">
        <f t="shared" si="54"/>
        <v>-11.019958999999972</v>
      </c>
      <c r="J891">
        <v>5713900</v>
      </c>
      <c r="K891">
        <v>-3.5343035343035303E-2</v>
      </c>
      <c r="L891">
        <v>-34</v>
      </c>
      <c r="M891">
        <f t="shared" si="55"/>
        <v>-1.9892701007073129E-2</v>
      </c>
      <c r="N891">
        <v>962</v>
      </c>
    </row>
    <row r="892" spans="1:14" x14ac:dyDescent="0.25">
      <c r="A892" s="1">
        <v>44393</v>
      </c>
      <c r="B892" s="1">
        <f t="shared" si="52"/>
        <v>2021</v>
      </c>
      <c r="C892" s="1" t="str">
        <f t="shared" si="53"/>
        <v>Jul</v>
      </c>
      <c r="D892">
        <v>541.80999799999995</v>
      </c>
      <c r="E892">
        <v>544.05999799999995</v>
      </c>
      <c r="F892">
        <v>527.04998799999998</v>
      </c>
      <c r="G892">
        <v>530.30999799999995</v>
      </c>
      <c r="H892">
        <v>530.30999799999995</v>
      </c>
      <c r="I892">
        <f t="shared" si="54"/>
        <v>-11.5</v>
      </c>
      <c r="J892">
        <v>3442100</v>
      </c>
      <c r="K892">
        <v>-5.7692307692307598E-2</v>
      </c>
      <c r="L892">
        <v>-24</v>
      </c>
      <c r="M892">
        <f t="shared" si="55"/>
        <v>-2.1225152807165439E-2</v>
      </c>
      <c r="N892">
        <v>416</v>
      </c>
    </row>
    <row r="893" spans="1:14" x14ac:dyDescent="0.25">
      <c r="A893" s="1">
        <v>44396</v>
      </c>
      <c r="B893" s="1">
        <f t="shared" si="52"/>
        <v>2021</v>
      </c>
      <c r="C893" s="1" t="str">
        <f t="shared" si="53"/>
        <v>Jul</v>
      </c>
      <c r="D893">
        <v>526.04998799999998</v>
      </c>
      <c r="E893">
        <v>534.90997300000004</v>
      </c>
      <c r="F893">
        <v>522.23999000000003</v>
      </c>
      <c r="G893">
        <v>532.28002900000001</v>
      </c>
      <c r="H893">
        <v>532.28002900000001</v>
      </c>
      <c r="I893">
        <f t="shared" si="54"/>
        <v>6.2300410000000284</v>
      </c>
      <c r="J893">
        <v>3885800</v>
      </c>
      <c r="K893">
        <v>-2.7088036117381399E-2</v>
      </c>
      <c r="L893">
        <v>-12</v>
      </c>
      <c r="M893">
        <f t="shared" si="55"/>
        <v>1.1843058914773759E-2</v>
      </c>
      <c r="N893">
        <v>443</v>
      </c>
    </row>
    <row r="894" spans="1:14" x14ac:dyDescent="0.25">
      <c r="A894" s="1">
        <v>44397</v>
      </c>
      <c r="B894" s="1">
        <f t="shared" si="52"/>
        <v>2021</v>
      </c>
      <c r="C894" s="1" t="str">
        <f t="shared" si="53"/>
        <v>Jul</v>
      </c>
      <c r="D894">
        <v>526.07000700000003</v>
      </c>
      <c r="E894">
        <v>536.64001499999995</v>
      </c>
      <c r="F894">
        <v>520.29998799999998</v>
      </c>
      <c r="G894">
        <v>531.04998799999998</v>
      </c>
      <c r="H894">
        <v>531.04998799999998</v>
      </c>
      <c r="I894">
        <f t="shared" si="54"/>
        <v>4.9799809999999525</v>
      </c>
      <c r="J894">
        <v>6930400</v>
      </c>
      <c r="K894">
        <v>-0.13762486126526</v>
      </c>
      <c r="L894">
        <v>-124</v>
      </c>
      <c r="M894">
        <f t="shared" si="55"/>
        <v>9.4663845756938429E-3</v>
      </c>
      <c r="N894">
        <v>901</v>
      </c>
    </row>
    <row r="895" spans="1:14" x14ac:dyDescent="0.25">
      <c r="A895" s="1">
        <v>44398</v>
      </c>
      <c r="B895" s="1">
        <f t="shared" si="52"/>
        <v>2021</v>
      </c>
      <c r="C895" s="1" t="str">
        <f t="shared" si="53"/>
        <v>Jul</v>
      </c>
      <c r="D895">
        <v>526.13000499999998</v>
      </c>
      <c r="E895">
        <v>530.98999000000003</v>
      </c>
      <c r="F895">
        <v>505.60998499999999</v>
      </c>
      <c r="G895">
        <v>513.63000499999998</v>
      </c>
      <c r="H895">
        <v>513.63000499999998</v>
      </c>
      <c r="I895">
        <f t="shared" si="54"/>
        <v>-12.5</v>
      </c>
      <c r="J895">
        <v>11906800</v>
      </c>
      <c r="K895">
        <v>-7.6855895196506499E-2</v>
      </c>
      <c r="L895">
        <v>-88</v>
      </c>
      <c r="M895">
        <f t="shared" si="55"/>
        <v>-2.3758386484724437E-2</v>
      </c>
      <c r="N895">
        <v>1145</v>
      </c>
    </row>
    <row r="896" spans="1:14" x14ac:dyDescent="0.25">
      <c r="A896" s="1">
        <v>44399</v>
      </c>
      <c r="B896" s="1">
        <f t="shared" si="52"/>
        <v>2021</v>
      </c>
      <c r="C896" s="1" t="str">
        <f t="shared" si="53"/>
        <v>Jul</v>
      </c>
      <c r="D896">
        <v>510.209991</v>
      </c>
      <c r="E896">
        <v>513.67999299999997</v>
      </c>
      <c r="F896">
        <v>507</v>
      </c>
      <c r="G896">
        <v>511.76998900000001</v>
      </c>
      <c r="H896">
        <v>511.76998900000001</v>
      </c>
      <c r="I896">
        <f t="shared" si="54"/>
        <v>1.5599980000000073</v>
      </c>
      <c r="J896">
        <v>4328100</v>
      </c>
      <c r="K896">
        <v>-0.105527638190954</v>
      </c>
      <c r="L896">
        <v>-42</v>
      </c>
      <c r="M896">
        <f t="shared" si="55"/>
        <v>3.0575606662316562E-3</v>
      </c>
      <c r="N896">
        <v>398</v>
      </c>
    </row>
    <row r="897" spans="1:14" x14ac:dyDescent="0.25">
      <c r="A897" s="1">
        <v>44400</v>
      </c>
      <c r="B897" s="1">
        <f t="shared" si="52"/>
        <v>2021</v>
      </c>
      <c r="C897" s="1" t="str">
        <f t="shared" si="53"/>
        <v>Jul</v>
      </c>
      <c r="D897">
        <v>512.15997300000004</v>
      </c>
      <c r="E897">
        <v>517.40997300000004</v>
      </c>
      <c r="F897">
        <v>504.66000400000001</v>
      </c>
      <c r="G897">
        <v>515.40997300000004</v>
      </c>
      <c r="H897">
        <v>515.40997300000004</v>
      </c>
      <c r="I897">
        <f t="shared" si="54"/>
        <v>3.25</v>
      </c>
      <c r="J897">
        <v>3820500</v>
      </c>
      <c r="K897">
        <v>-2.6315789473684002E-3</v>
      </c>
      <c r="L897">
        <v>-1</v>
      </c>
      <c r="M897">
        <f t="shared" si="55"/>
        <v>6.3456735616471138E-3</v>
      </c>
      <c r="N897">
        <v>380</v>
      </c>
    </row>
    <row r="898" spans="1:14" x14ac:dyDescent="0.25">
      <c r="A898" s="1">
        <v>44403</v>
      </c>
      <c r="B898" s="1">
        <f t="shared" ref="B898:B961" si="56">YEAR(A898)</f>
        <v>2021</v>
      </c>
      <c r="C898" s="1" t="str">
        <f t="shared" ref="C898:C961" si="57">TEXT(A898,"mmm")</f>
        <v>Jul</v>
      </c>
      <c r="D898">
        <v>514.38000499999998</v>
      </c>
      <c r="E898">
        <v>521.13000499999998</v>
      </c>
      <c r="F898">
        <v>509.01001000000002</v>
      </c>
      <c r="G898">
        <v>516.48999000000003</v>
      </c>
      <c r="H898">
        <v>516.48999000000003</v>
      </c>
      <c r="I898">
        <f t="shared" ref="I898:I961" si="58">G898-D898</f>
        <v>2.1099850000000515</v>
      </c>
      <c r="J898">
        <v>2254500</v>
      </c>
      <c r="K898">
        <v>-2.74914089347079E-2</v>
      </c>
      <c r="L898">
        <v>-8</v>
      </c>
      <c r="M898">
        <f t="shared" ref="M898:M961" si="59">(G898-D898)/D898</f>
        <v>4.1019965385319587E-3</v>
      </c>
      <c r="N898">
        <v>291</v>
      </c>
    </row>
    <row r="899" spans="1:14" x14ac:dyDescent="0.25">
      <c r="A899" s="1">
        <v>44404</v>
      </c>
      <c r="B899" s="1">
        <f t="shared" si="56"/>
        <v>2021</v>
      </c>
      <c r="C899" s="1" t="str">
        <f t="shared" si="57"/>
        <v>Jul</v>
      </c>
      <c r="D899">
        <v>518.080017</v>
      </c>
      <c r="E899">
        <v>521.95001200000002</v>
      </c>
      <c r="F899">
        <v>512.04998799999998</v>
      </c>
      <c r="G899">
        <v>518.90997300000004</v>
      </c>
      <c r="H899">
        <v>518.90997300000004</v>
      </c>
      <c r="I899">
        <f t="shared" si="58"/>
        <v>0.82995600000003833</v>
      </c>
      <c r="J899">
        <v>2759000</v>
      </c>
      <c r="K899">
        <v>0</v>
      </c>
      <c r="L899">
        <v>0</v>
      </c>
      <c r="M899">
        <f t="shared" si="59"/>
        <v>1.6019841969701725E-3</v>
      </c>
      <c r="N899">
        <v>281</v>
      </c>
    </row>
    <row r="900" spans="1:14" x14ac:dyDescent="0.25">
      <c r="A900" s="1">
        <v>44405</v>
      </c>
      <c r="B900" s="1">
        <f t="shared" si="56"/>
        <v>2021</v>
      </c>
      <c r="C900" s="1" t="str">
        <f t="shared" si="57"/>
        <v>Jul</v>
      </c>
      <c r="D900">
        <v>521.82000700000003</v>
      </c>
      <c r="E900">
        <v>524.46997099999999</v>
      </c>
      <c r="F900">
        <v>516.97997999999995</v>
      </c>
      <c r="G900">
        <v>519.29998799999998</v>
      </c>
      <c r="H900">
        <v>519.29998799999998</v>
      </c>
      <c r="I900">
        <f t="shared" si="58"/>
        <v>-2.5200190000000475</v>
      </c>
      <c r="J900">
        <v>2390500</v>
      </c>
      <c r="K900">
        <v>-4.8951048951048903E-2</v>
      </c>
      <c r="L900">
        <v>-14</v>
      </c>
      <c r="M900">
        <f t="shared" si="59"/>
        <v>-4.8292878122629121E-3</v>
      </c>
      <c r="N900">
        <v>286</v>
      </c>
    </row>
    <row r="901" spans="1:14" x14ac:dyDescent="0.25">
      <c r="A901" s="1">
        <v>44406</v>
      </c>
      <c r="B901" s="1">
        <f t="shared" si="56"/>
        <v>2021</v>
      </c>
      <c r="C901" s="1" t="str">
        <f t="shared" si="57"/>
        <v>Jul</v>
      </c>
      <c r="D901">
        <v>519.96002199999998</v>
      </c>
      <c r="E901">
        <v>520.78002900000001</v>
      </c>
      <c r="F901">
        <v>513.78997800000002</v>
      </c>
      <c r="G901">
        <v>514.25</v>
      </c>
      <c r="H901">
        <v>514.25</v>
      </c>
      <c r="I901">
        <f t="shared" si="58"/>
        <v>-5.7100219999999808</v>
      </c>
      <c r="J901">
        <v>1736000</v>
      </c>
      <c r="K901">
        <v>-0.124</v>
      </c>
      <c r="L901">
        <v>-31</v>
      </c>
      <c r="M901">
        <f t="shared" si="59"/>
        <v>-1.0981655816608111E-2</v>
      </c>
      <c r="N901">
        <v>250</v>
      </c>
    </row>
    <row r="902" spans="1:14" x14ac:dyDescent="0.25">
      <c r="A902" s="1">
        <v>44407</v>
      </c>
      <c r="B902" s="1">
        <f t="shared" si="56"/>
        <v>2021</v>
      </c>
      <c r="C902" s="1" t="str">
        <f t="shared" si="57"/>
        <v>Jul</v>
      </c>
      <c r="D902">
        <v>512.69000200000005</v>
      </c>
      <c r="E902">
        <v>519.78997800000002</v>
      </c>
      <c r="F902">
        <v>510.959991</v>
      </c>
      <c r="G902">
        <v>517.57000700000003</v>
      </c>
      <c r="H902">
        <v>517.57000700000003</v>
      </c>
      <c r="I902">
        <f t="shared" si="58"/>
        <v>4.8800049999999828</v>
      </c>
      <c r="J902">
        <v>2537100</v>
      </c>
      <c r="K902">
        <v>-9.7222222222222196E-2</v>
      </c>
      <c r="L902">
        <v>-21</v>
      </c>
      <c r="M902">
        <f t="shared" si="59"/>
        <v>9.5184321538612383E-3</v>
      </c>
      <c r="N902">
        <v>216</v>
      </c>
    </row>
    <row r="903" spans="1:14" x14ac:dyDescent="0.25">
      <c r="A903" s="1">
        <v>44410</v>
      </c>
      <c r="B903" s="1">
        <f t="shared" si="56"/>
        <v>2021</v>
      </c>
      <c r="C903" s="1" t="str">
        <f t="shared" si="57"/>
        <v>Aug</v>
      </c>
      <c r="D903">
        <v>519</v>
      </c>
      <c r="E903">
        <v>519.84997599999997</v>
      </c>
      <c r="F903">
        <v>510.51001000000002</v>
      </c>
      <c r="G903">
        <v>515.15002400000003</v>
      </c>
      <c r="H903">
        <v>515.15002400000003</v>
      </c>
      <c r="I903">
        <f t="shared" si="58"/>
        <v>-3.8499759999999696</v>
      </c>
      <c r="J903">
        <v>2096600</v>
      </c>
      <c r="K903">
        <v>-9.0090090090090003E-2</v>
      </c>
      <c r="L903">
        <v>-20</v>
      </c>
      <c r="M903">
        <f t="shared" si="59"/>
        <v>-7.4180655105972439E-3</v>
      </c>
      <c r="N903">
        <v>222</v>
      </c>
    </row>
    <row r="904" spans="1:14" x14ac:dyDescent="0.25">
      <c r="A904" s="1">
        <v>44411</v>
      </c>
      <c r="B904" s="1">
        <f t="shared" si="56"/>
        <v>2021</v>
      </c>
      <c r="C904" s="1" t="str">
        <f t="shared" si="57"/>
        <v>Aug</v>
      </c>
      <c r="D904">
        <v>514.39001499999995</v>
      </c>
      <c r="E904">
        <v>515.63000499999998</v>
      </c>
      <c r="F904">
        <v>505.36999500000002</v>
      </c>
      <c r="G904">
        <v>510.82000699999998</v>
      </c>
      <c r="H904">
        <v>510.82000699999998</v>
      </c>
      <c r="I904">
        <f t="shared" si="58"/>
        <v>-3.570007999999973</v>
      </c>
      <c r="J904">
        <v>2579400</v>
      </c>
      <c r="K904">
        <v>-8.6486486486486394E-2</v>
      </c>
      <c r="L904">
        <v>-16</v>
      </c>
      <c r="M904">
        <f t="shared" si="59"/>
        <v>-6.9402746863194325E-3</v>
      </c>
      <c r="N904">
        <v>185</v>
      </c>
    </row>
    <row r="905" spans="1:14" x14ac:dyDescent="0.25">
      <c r="A905" s="1">
        <v>44412</v>
      </c>
      <c r="B905" s="1">
        <f t="shared" si="56"/>
        <v>2021</v>
      </c>
      <c r="C905" s="1" t="str">
        <f t="shared" si="57"/>
        <v>Aug</v>
      </c>
      <c r="D905">
        <v>513</v>
      </c>
      <c r="E905">
        <v>517.97997999999995</v>
      </c>
      <c r="F905">
        <v>510.36999500000002</v>
      </c>
      <c r="G905">
        <v>517.34997599999997</v>
      </c>
      <c r="H905">
        <v>517.34997599999997</v>
      </c>
      <c r="I905">
        <f t="shared" si="58"/>
        <v>4.3499759999999696</v>
      </c>
      <c r="J905">
        <v>2039400</v>
      </c>
      <c r="K905">
        <v>-5.0980392156862703E-2</v>
      </c>
      <c r="L905">
        <v>-13</v>
      </c>
      <c r="M905">
        <f t="shared" si="59"/>
        <v>8.4794853801168999E-3</v>
      </c>
      <c r="N905">
        <v>255</v>
      </c>
    </row>
    <row r="906" spans="1:14" x14ac:dyDescent="0.25">
      <c r="A906" s="1">
        <v>44413</v>
      </c>
      <c r="B906" s="1">
        <f t="shared" si="56"/>
        <v>2021</v>
      </c>
      <c r="C906" s="1" t="str">
        <f t="shared" si="57"/>
        <v>Aug</v>
      </c>
      <c r="D906">
        <v>517.13000499999998</v>
      </c>
      <c r="E906">
        <v>525.40997300000004</v>
      </c>
      <c r="F906">
        <v>514.02002000000005</v>
      </c>
      <c r="G906">
        <v>524.89001499999995</v>
      </c>
      <c r="H906">
        <v>524.89001499999995</v>
      </c>
      <c r="I906">
        <f t="shared" si="58"/>
        <v>7.7600099999999657</v>
      </c>
      <c r="J906">
        <v>2556700</v>
      </c>
      <c r="K906">
        <v>-3.6423841059602599E-2</v>
      </c>
      <c r="L906">
        <v>-11</v>
      </c>
      <c r="M906">
        <f t="shared" si="59"/>
        <v>1.5005917129097868E-2</v>
      </c>
      <c r="N906">
        <v>302</v>
      </c>
    </row>
    <row r="907" spans="1:14" x14ac:dyDescent="0.25">
      <c r="A907" s="1">
        <v>44414</v>
      </c>
      <c r="B907" s="1">
        <f t="shared" si="56"/>
        <v>2021</v>
      </c>
      <c r="C907" s="1" t="str">
        <f t="shared" si="57"/>
        <v>Aug</v>
      </c>
      <c r="D907">
        <v>524</v>
      </c>
      <c r="E907">
        <v>526.84002699999996</v>
      </c>
      <c r="F907">
        <v>519.39001499999995</v>
      </c>
      <c r="G907">
        <v>520.54998799999998</v>
      </c>
      <c r="H907">
        <v>520.54998799999998</v>
      </c>
      <c r="I907">
        <f t="shared" si="58"/>
        <v>-3.4500120000000152</v>
      </c>
      <c r="J907">
        <v>1919800</v>
      </c>
      <c r="K907">
        <v>-6.6350710900473897E-2</v>
      </c>
      <c r="L907">
        <v>-14</v>
      </c>
      <c r="M907">
        <f t="shared" si="59"/>
        <v>-6.5839923664122429E-3</v>
      </c>
      <c r="N907">
        <v>211</v>
      </c>
    </row>
    <row r="908" spans="1:14" x14ac:dyDescent="0.25">
      <c r="A908" s="1">
        <v>44417</v>
      </c>
      <c r="B908" s="1">
        <f t="shared" si="56"/>
        <v>2021</v>
      </c>
      <c r="C908" s="1" t="str">
        <f t="shared" si="57"/>
        <v>Aug</v>
      </c>
      <c r="D908">
        <v>521.15002400000003</v>
      </c>
      <c r="E908">
        <v>522.669983</v>
      </c>
      <c r="F908">
        <v>517.98999000000003</v>
      </c>
      <c r="G908">
        <v>519.96997099999999</v>
      </c>
      <c r="H908">
        <v>519.96997099999999</v>
      </c>
      <c r="I908">
        <f t="shared" si="58"/>
        <v>-1.1800530000000435</v>
      </c>
      <c r="J908">
        <v>1367800</v>
      </c>
      <c r="K908">
        <v>-5.1282051282051197E-2</v>
      </c>
      <c r="L908">
        <v>-8</v>
      </c>
      <c r="M908">
        <f t="shared" si="59"/>
        <v>-2.2643249460927656E-3</v>
      </c>
      <c r="N908">
        <v>156</v>
      </c>
    </row>
    <row r="909" spans="1:14" x14ac:dyDescent="0.25">
      <c r="A909" s="1">
        <v>44418</v>
      </c>
      <c r="B909" s="1">
        <f t="shared" si="56"/>
        <v>2021</v>
      </c>
      <c r="C909" s="1" t="str">
        <f t="shared" si="57"/>
        <v>Aug</v>
      </c>
      <c r="D909">
        <v>520</v>
      </c>
      <c r="E909">
        <v>520.78997800000002</v>
      </c>
      <c r="F909">
        <v>512.96997099999999</v>
      </c>
      <c r="G909">
        <v>515.84002699999996</v>
      </c>
      <c r="H909">
        <v>515.84002699999996</v>
      </c>
      <c r="I909">
        <f t="shared" si="58"/>
        <v>-4.1599730000000363</v>
      </c>
      <c r="J909">
        <v>1960500</v>
      </c>
      <c r="K909">
        <v>-8.5427135678391899E-2</v>
      </c>
      <c r="L909">
        <v>-17</v>
      </c>
      <c r="M909">
        <f t="shared" si="59"/>
        <v>-7.9999480769231465E-3</v>
      </c>
      <c r="N909">
        <v>199</v>
      </c>
    </row>
    <row r="910" spans="1:14" x14ac:dyDescent="0.25">
      <c r="A910" s="1">
        <v>44419</v>
      </c>
      <c r="B910" s="1">
        <f t="shared" si="56"/>
        <v>2021</v>
      </c>
      <c r="C910" s="1" t="str">
        <f t="shared" si="57"/>
        <v>Aug</v>
      </c>
      <c r="D910">
        <v>517</v>
      </c>
      <c r="E910">
        <v>519.57000700000003</v>
      </c>
      <c r="F910">
        <v>509.76998900000001</v>
      </c>
      <c r="G910">
        <v>512.40002400000003</v>
      </c>
      <c r="H910">
        <v>512.40002400000003</v>
      </c>
      <c r="I910">
        <f t="shared" si="58"/>
        <v>-4.5999759999999696</v>
      </c>
      <c r="J910">
        <v>1673900</v>
      </c>
      <c r="K910">
        <v>-5.8823529411764698E-2</v>
      </c>
      <c r="L910">
        <v>-11</v>
      </c>
      <c r="M910">
        <f t="shared" si="59"/>
        <v>-8.8974390715666728E-3</v>
      </c>
      <c r="N910">
        <v>187</v>
      </c>
    </row>
    <row r="911" spans="1:14" x14ac:dyDescent="0.25">
      <c r="A911" s="1">
        <v>44420</v>
      </c>
      <c r="B911" s="1">
        <f t="shared" si="56"/>
        <v>2021</v>
      </c>
      <c r="C911" s="1" t="str">
        <f t="shared" si="57"/>
        <v>Aug</v>
      </c>
      <c r="D911">
        <v>511.85998499999999</v>
      </c>
      <c r="E911">
        <v>513</v>
      </c>
      <c r="F911">
        <v>507.20001200000002</v>
      </c>
      <c r="G911">
        <v>510.72000100000002</v>
      </c>
      <c r="H911">
        <v>510.72000100000002</v>
      </c>
      <c r="I911">
        <f t="shared" si="58"/>
        <v>-1.1399839999999699</v>
      </c>
      <c r="J911">
        <v>1685700</v>
      </c>
      <c r="K911">
        <v>-2.3041474654377801E-2</v>
      </c>
      <c r="L911">
        <v>-5</v>
      </c>
      <c r="M911">
        <f t="shared" si="59"/>
        <v>-2.2271402989236791E-3</v>
      </c>
      <c r="N911">
        <v>217</v>
      </c>
    </row>
    <row r="912" spans="1:14" x14ac:dyDescent="0.25">
      <c r="A912" s="1">
        <v>44421</v>
      </c>
      <c r="B912" s="1">
        <f t="shared" si="56"/>
        <v>2021</v>
      </c>
      <c r="C912" s="1" t="str">
        <f t="shared" si="57"/>
        <v>Aug</v>
      </c>
      <c r="D912">
        <v>512.64001499999995</v>
      </c>
      <c r="E912">
        <v>521.44000200000005</v>
      </c>
      <c r="F912">
        <v>511.51001000000002</v>
      </c>
      <c r="G912">
        <v>515.919983</v>
      </c>
      <c r="H912">
        <v>515.919983</v>
      </c>
      <c r="I912">
        <f t="shared" si="58"/>
        <v>3.2799680000000535</v>
      </c>
      <c r="J912">
        <v>2177700</v>
      </c>
      <c r="K912">
        <v>-8.2236842105263094E-2</v>
      </c>
      <c r="L912">
        <v>-25</v>
      </c>
      <c r="M912">
        <f t="shared" si="59"/>
        <v>6.3981895755836652E-3</v>
      </c>
      <c r="N912">
        <v>304</v>
      </c>
    </row>
    <row r="913" spans="1:14" x14ac:dyDescent="0.25">
      <c r="A913" s="1">
        <v>44424</v>
      </c>
      <c r="B913" s="1">
        <f t="shared" si="56"/>
        <v>2021</v>
      </c>
      <c r="C913" s="1" t="str">
        <f t="shared" si="57"/>
        <v>Aug</v>
      </c>
      <c r="D913">
        <v>515.23999000000003</v>
      </c>
      <c r="E913">
        <v>523.38000499999998</v>
      </c>
      <c r="F913">
        <v>512.29998799999998</v>
      </c>
      <c r="G913">
        <v>517.919983</v>
      </c>
      <c r="H913">
        <v>517.919983</v>
      </c>
      <c r="I913">
        <f t="shared" si="58"/>
        <v>2.6799929999999677</v>
      </c>
      <c r="J913">
        <v>2032800</v>
      </c>
      <c r="K913">
        <v>-4.4052863436122996E-3</v>
      </c>
      <c r="L913">
        <v>-1</v>
      </c>
      <c r="M913">
        <f t="shared" si="59"/>
        <v>5.2014460290630152E-3</v>
      </c>
      <c r="N913">
        <v>227</v>
      </c>
    </row>
    <row r="914" spans="1:14" x14ac:dyDescent="0.25">
      <c r="A914" s="1">
        <v>44425</v>
      </c>
      <c r="B914" s="1">
        <f t="shared" si="56"/>
        <v>2021</v>
      </c>
      <c r="C914" s="1" t="str">
        <f t="shared" si="57"/>
        <v>Aug</v>
      </c>
      <c r="D914">
        <v>515.46997099999999</v>
      </c>
      <c r="E914">
        <v>520.78997800000002</v>
      </c>
      <c r="F914">
        <v>514.20001200000002</v>
      </c>
      <c r="G914">
        <v>518.90997300000004</v>
      </c>
      <c r="H914">
        <v>518.90997300000004</v>
      </c>
      <c r="I914">
        <f t="shared" si="58"/>
        <v>3.4400020000000495</v>
      </c>
      <c r="J914">
        <v>2309800</v>
      </c>
      <c r="K914">
        <v>-5.1063829787233998E-2</v>
      </c>
      <c r="L914">
        <v>-12</v>
      </c>
      <c r="M914">
        <f t="shared" si="59"/>
        <v>6.6735255078516484E-3</v>
      </c>
      <c r="N914">
        <v>235</v>
      </c>
    </row>
    <row r="915" spans="1:14" x14ac:dyDescent="0.25">
      <c r="A915" s="1">
        <v>44426</v>
      </c>
      <c r="B915" s="1">
        <f t="shared" si="56"/>
        <v>2021</v>
      </c>
      <c r="C915" s="1" t="str">
        <f t="shared" si="57"/>
        <v>Aug</v>
      </c>
      <c r="D915">
        <v>520</v>
      </c>
      <c r="E915">
        <v>526.38000499999998</v>
      </c>
      <c r="F915">
        <v>518.65002400000003</v>
      </c>
      <c r="G915">
        <v>521.86999500000002</v>
      </c>
      <c r="H915">
        <v>521.86999500000002</v>
      </c>
      <c r="I915">
        <f t="shared" si="58"/>
        <v>1.8699950000000172</v>
      </c>
      <c r="J915">
        <v>2582000</v>
      </c>
      <c r="K915">
        <v>-1.2820512820512799E-2</v>
      </c>
      <c r="L915">
        <v>-4</v>
      </c>
      <c r="M915">
        <f t="shared" si="59"/>
        <v>3.5961442307692638E-3</v>
      </c>
      <c r="N915">
        <v>312</v>
      </c>
    </row>
    <row r="916" spans="1:14" x14ac:dyDescent="0.25">
      <c r="A916" s="1">
        <v>44427</v>
      </c>
      <c r="B916" s="1">
        <f t="shared" si="56"/>
        <v>2021</v>
      </c>
      <c r="C916" s="1" t="str">
        <f t="shared" si="57"/>
        <v>Aug</v>
      </c>
      <c r="D916">
        <v>522.73999000000003</v>
      </c>
      <c r="E916">
        <v>548.39001499999995</v>
      </c>
      <c r="F916">
        <v>521.86999500000002</v>
      </c>
      <c r="G916">
        <v>543.71002199999998</v>
      </c>
      <c r="H916">
        <v>543.71002199999998</v>
      </c>
      <c r="I916">
        <f t="shared" si="58"/>
        <v>20.970031999999946</v>
      </c>
      <c r="J916">
        <v>7497300</v>
      </c>
      <c r="K916">
        <v>7.1138211382113003E-3</v>
      </c>
      <c r="L916">
        <v>7</v>
      </c>
      <c r="M916">
        <f t="shared" si="59"/>
        <v>4.0115606996128123E-2</v>
      </c>
      <c r="N916">
        <v>984</v>
      </c>
    </row>
    <row r="917" spans="1:14" x14ac:dyDescent="0.25">
      <c r="A917" s="1">
        <v>44428</v>
      </c>
      <c r="B917" s="1">
        <f t="shared" si="56"/>
        <v>2021</v>
      </c>
      <c r="C917" s="1" t="str">
        <f t="shared" si="57"/>
        <v>Aug</v>
      </c>
      <c r="D917">
        <v>545.09002699999996</v>
      </c>
      <c r="E917">
        <v>551.39001499999995</v>
      </c>
      <c r="F917">
        <v>539.09997599999997</v>
      </c>
      <c r="G917">
        <v>546.88000499999998</v>
      </c>
      <c r="H917">
        <v>546.88000499999998</v>
      </c>
      <c r="I917">
        <f t="shared" si="58"/>
        <v>1.7899780000000192</v>
      </c>
      <c r="J917">
        <v>3776400</v>
      </c>
      <c r="K917">
        <v>3.6697247706422E-2</v>
      </c>
      <c r="L917">
        <v>16</v>
      </c>
      <c r="M917">
        <f t="shared" si="59"/>
        <v>3.2838208577241484E-3</v>
      </c>
      <c r="N917">
        <v>436</v>
      </c>
    </row>
    <row r="918" spans="1:14" x14ac:dyDescent="0.25">
      <c r="A918" s="1">
        <v>44431</v>
      </c>
      <c r="B918" s="1">
        <f t="shared" si="56"/>
        <v>2021</v>
      </c>
      <c r="C918" s="1" t="str">
        <f t="shared" si="57"/>
        <v>Aug</v>
      </c>
      <c r="D918">
        <v>545.97997999999995</v>
      </c>
      <c r="E918">
        <v>555.54998799999998</v>
      </c>
      <c r="F918">
        <v>543.73999000000003</v>
      </c>
      <c r="G918">
        <v>553.330017</v>
      </c>
      <c r="H918">
        <v>553.330017</v>
      </c>
      <c r="I918">
        <f t="shared" si="58"/>
        <v>7.350037000000043</v>
      </c>
      <c r="J918">
        <v>2602000</v>
      </c>
      <c r="K918">
        <v>3.4285714285714197E-2</v>
      </c>
      <c r="L918">
        <v>12</v>
      </c>
      <c r="M918">
        <f t="shared" si="59"/>
        <v>1.346209983743368E-2</v>
      </c>
      <c r="N918">
        <v>350</v>
      </c>
    </row>
    <row r="919" spans="1:14" x14ac:dyDescent="0.25">
      <c r="A919" s="1">
        <v>44432</v>
      </c>
      <c r="B919" s="1">
        <f t="shared" si="56"/>
        <v>2021</v>
      </c>
      <c r="C919" s="1" t="str">
        <f t="shared" si="57"/>
        <v>Aug</v>
      </c>
      <c r="D919">
        <v>551.47997999999995</v>
      </c>
      <c r="E919">
        <v>555.30999799999995</v>
      </c>
      <c r="F919">
        <v>549.27002000000005</v>
      </c>
      <c r="G919">
        <v>553.40997300000004</v>
      </c>
      <c r="H919">
        <v>553.40997300000004</v>
      </c>
      <c r="I919">
        <f t="shared" si="58"/>
        <v>1.9299930000000813</v>
      </c>
      <c r="J919">
        <v>2109500</v>
      </c>
      <c r="K919">
        <v>-3.1690140845070401E-2</v>
      </c>
      <c r="L919">
        <v>-9</v>
      </c>
      <c r="M919">
        <f t="shared" si="59"/>
        <v>3.4996610393727826E-3</v>
      </c>
      <c r="N919">
        <v>284</v>
      </c>
    </row>
    <row r="920" spans="1:14" x14ac:dyDescent="0.25">
      <c r="A920" s="1">
        <v>44433</v>
      </c>
      <c r="B920" s="1">
        <f t="shared" si="56"/>
        <v>2021</v>
      </c>
      <c r="C920" s="1" t="str">
        <f t="shared" si="57"/>
        <v>Aug</v>
      </c>
      <c r="D920">
        <v>550.15997300000004</v>
      </c>
      <c r="E920">
        <v>552.84002699999996</v>
      </c>
      <c r="F920">
        <v>545.45001200000002</v>
      </c>
      <c r="G920">
        <v>547.580017</v>
      </c>
      <c r="H920">
        <v>547.580017</v>
      </c>
      <c r="I920">
        <f t="shared" si="58"/>
        <v>-2.5799560000000383</v>
      </c>
      <c r="J920">
        <v>2065600</v>
      </c>
      <c r="K920">
        <v>-3.4482758620689599E-2</v>
      </c>
      <c r="L920">
        <v>-10</v>
      </c>
      <c r="M920">
        <f t="shared" si="59"/>
        <v>-4.6894651130863678E-3</v>
      </c>
      <c r="N920">
        <v>290</v>
      </c>
    </row>
    <row r="921" spans="1:14" x14ac:dyDescent="0.25">
      <c r="A921" s="1">
        <v>44434</v>
      </c>
      <c r="B921" s="1">
        <f t="shared" si="56"/>
        <v>2021</v>
      </c>
      <c r="C921" s="1" t="str">
        <f t="shared" si="57"/>
        <v>Aug</v>
      </c>
      <c r="D921">
        <v>546.15997300000004</v>
      </c>
      <c r="E921">
        <v>552.59997599999997</v>
      </c>
      <c r="F921">
        <v>545.90002400000003</v>
      </c>
      <c r="G921">
        <v>550.11999500000002</v>
      </c>
      <c r="H921">
        <v>550.11999500000002</v>
      </c>
      <c r="I921">
        <f t="shared" si="58"/>
        <v>3.9600219999999808</v>
      </c>
      <c r="J921">
        <v>1595500</v>
      </c>
      <c r="K921">
        <v>-5.3763440860214999E-2</v>
      </c>
      <c r="L921">
        <v>-15</v>
      </c>
      <c r="M921">
        <f t="shared" si="59"/>
        <v>7.2506631678773362E-3</v>
      </c>
      <c r="N921">
        <v>279</v>
      </c>
    </row>
    <row r="922" spans="1:14" x14ac:dyDescent="0.25">
      <c r="A922" s="1">
        <v>44435</v>
      </c>
      <c r="B922" s="1">
        <f t="shared" si="56"/>
        <v>2021</v>
      </c>
      <c r="C922" s="1" t="str">
        <f t="shared" si="57"/>
        <v>Aug</v>
      </c>
      <c r="D922">
        <v>551.59997599999997</v>
      </c>
      <c r="E922">
        <v>564.169983</v>
      </c>
      <c r="F922">
        <v>549.25</v>
      </c>
      <c r="G922">
        <v>558.919983</v>
      </c>
      <c r="H922">
        <v>558.919983</v>
      </c>
      <c r="I922">
        <f t="shared" si="58"/>
        <v>7.3200070000000323</v>
      </c>
      <c r="J922">
        <v>3252600</v>
      </c>
      <c r="K922">
        <v>9.8522167487684002E-3</v>
      </c>
      <c r="L922">
        <v>4</v>
      </c>
      <c r="M922">
        <f t="shared" si="59"/>
        <v>1.3270499127070363E-2</v>
      </c>
      <c r="N922">
        <v>406</v>
      </c>
    </row>
    <row r="923" spans="1:14" x14ac:dyDescent="0.25">
      <c r="A923" s="1">
        <v>44438</v>
      </c>
      <c r="B923" s="1">
        <f t="shared" si="56"/>
        <v>2021</v>
      </c>
      <c r="C923" s="1" t="str">
        <f t="shared" si="57"/>
        <v>Aug</v>
      </c>
      <c r="D923">
        <v>557.25</v>
      </c>
      <c r="E923">
        <v>567.15997300000004</v>
      </c>
      <c r="F923">
        <v>556.45001200000002</v>
      </c>
      <c r="G923">
        <v>566.17999299999997</v>
      </c>
      <c r="H923">
        <v>566.17999299999997</v>
      </c>
      <c r="I923">
        <f t="shared" si="58"/>
        <v>8.9299929999999677</v>
      </c>
      <c r="J923">
        <v>2434800</v>
      </c>
      <c r="K923">
        <v>-1.7910447761194E-2</v>
      </c>
      <c r="L923">
        <v>-6</v>
      </c>
      <c r="M923">
        <f t="shared" si="59"/>
        <v>1.602511081202327E-2</v>
      </c>
      <c r="N923">
        <v>335</v>
      </c>
    </row>
    <row r="924" spans="1:14" x14ac:dyDescent="0.25">
      <c r="A924" s="1">
        <v>44439</v>
      </c>
      <c r="B924" s="1">
        <f t="shared" si="56"/>
        <v>2021</v>
      </c>
      <c r="C924" s="1" t="str">
        <f t="shared" si="57"/>
        <v>Aug</v>
      </c>
      <c r="D924">
        <v>566.11999500000002</v>
      </c>
      <c r="E924">
        <v>569.47997999999995</v>
      </c>
      <c r="F924">
        <v>561.60998500000005</v>
      </c>
      <c r="G924">
        <v>569.19000200000005</v>
      </c>
      <c r="H924">
        <v>569.19000200000005</v>
      </c>
      <c r="I924">
        <f t="shared" si="58"/>
        <v>3.0700070000000323</v>
      </c>
      <c r="J924">
        <v>2431900</v>
      </c>
      <c r="K924">
        <v>1.71919770773638E-2</v>
      </c>
      <c r="L924">
        <v>6</v>
      </c>
      <c r="M924">
        <f t="shared" si="59"/>
        <v>5.4228909544168855E-3</v>
      </c>
      <c r="N924">
        <v>349</v>
      </c>
    </row>
    <row r="925" spans="1:14" x14ac:dyDescent="0.25">
      <c r="A925" s="1">
        <v>44440</v>
      </c>
      <c r="B925" s="1">
        <f t="shared" si="56"/>
        <v>2021</v>
      </c>
      <c r="C925" s="1" t="str">
        <f t="shared" si="57"/>
        <v>Sep</v>
      </c>
      <c r="D925">
        <v>569</v>
      </c>
      <c r="E925">
        <v>591</v>
      </c>
      <c r="F925">
        <v>569</v>
      </c>
      <c r="G925">
        <v>582.07000700000003</v>
      </c>
      <c r="H925">
        <v>582.07000700000003</v>
      </c>
      <c r="I925">
        <f t="shared" si="58"/>
        <v>13.070007000000032</v>
      </c>
      <c r="J925">
        <v>5626200</v>
      </c>
      <c r="K925">
        <v>1.5364916773367401E-2</v>
      </c>
      <c r="L925">
        <v>12</v>
      </c>
      <c r="M925">
        <f t="shared" si="59"/>
        <v>2.2970135325131869E-2</v>
      </c>
      <c r="N925">
        <v>781</v>
      </c>
    </row>
    <row r="926" spans="1:14" x14ac:dyDescent="0.25">
      <c r="A926" s="1">
        <v>44441</v>
      </c>
      <c r="B926" s="1">
        <f t="shared" si="56"/>
        <v>2021</v>
      </c>
      <c r="C926" s="1" t="str">
        <f t="shared" si="57"/>
        <v>Sep</v>
      </c>
      <c r="D926">
        <v>583.67999299999997</v>
      </c>
      <c r="E926">
        <v>598.76000999999997</v>
      </c>
      <c r="F926">
        <v>583.67999299999997</v>
      </c>
      <c r="G926">
        <v>588.54998799999998</v>
      </c>
      <c r="H926">
        <v>588.54998799999998</v>
      </c>
      <c r="I926">
        <f t="shared" si="58"/>
        <v>4.8699950000000172</v>
      </c>
      <c r="J926">
        <v>6179900</v>
      </c>
      <c r="K926">
        <v>7.4257425742574002E-3</v>
      </c>
      <c r="L926">
        <v>6</v>
      </c>
      <c r="M926">
        <f t="shared" si="59"/>
        <v>8.3436044723225883E-3</v>
      </c>
      <c r="N926">
        <v>808</v>
      </c>
    </row>
    <row r="927" spans="1:14" x14ac:dyDescent="0.25">
      <c r="A927" s="1">
        <v>44442</v>
      </c>
      <c r="B927" s="1">
        <f t="shared" si="56"/>
        <v>2021</v>
      </c>
      <c r="C927" s="1" t="str">
        <f t="shared" si="57"/>
        <v>Sep</v>
      </c>
      <c r="D927">
        <v>585.79998799999998</v>
      </c>
      <c r="E927">
        <v>591.88000499999998</v>
      </c>
      <c r="F927">
        <v>583.14001499999995</v>
      </c>
      <c r="G927">
        <v>590.53002900000001</v>
      </c>
      <c r="H927">
        <v>590.53002900000001</v>
      </c>
      <c r="I927">
        <f t="shared" si="58"/>
        <v>4.7300410000000284</v>
      </c>
      <c r="J927">
        <v>2681200</v>
      </c>
      <c r="K927">
        <v>-4.9261083743842297E-2</v>
      </c>
      <c r="L927">
        <v>-20</v>
      </c>
      <c r="M927">
        <f t="shared" si="59"/>
        <v>8.0744982876306045E-3</v>
      </c>
      <c r="N927">
        <v>406</v>
      </c>
    </row>
    <row r="928" spans="1:14" x14ac:dyDescent="0.25">
      <c r="A928" s="1">
        <v>44446</v>
      </c>
      <c r="B928" s="1">
        <f t="shared" si="56"/>
        <v>2021</v>
      </c>
      <c r="C928" s="1" t="str">
        <f t="shared" si="57"/>
        <v>Sep</v>
      </c>
      <c r="D928">
        <v>594.69000200000005</v>
      </c>
      <c r="E928">
        <v>613.84997599999997</v>
      </c>
      <c r="F928">
        <v>593.98999000000003</v>
      </c>
      <c r="G928">
        <v>606.71002199999998</v>
      </c>
      <c r="H928">
        <v>606.71002199999998</v>
      </c>
      <c r="I928">
        <f t="shared" si="58"/>
        <v>12.020019999999931</v>
      </c>
      <c r="J928">
        <v>5821400</v>
      </c>
      <c r="K928">
        <v>6.6753926701570598E-2</v>
      </c>
      <c r="L928">
        <v>51</v>
      </c>
      <c r="M928">
        <f t="shared" si="59"/>
        <v>2.0212244967252584E-2</v>
      </c>
      <c r="N928">
        <v>764</v>
      </c>
    </row>
    <row r="929" spans="1:14" x14ac:dyDescent="0.25">
      <c r="A929" s="1">
        <v>44447</v>
      </c>
      <c r="B929" s="1">
        <f t="shared" si="56"/>
        <v>2021</v>
      </c>
      <c r="C929" s="1" t="str">
        <f t="shared" si="57"/>
        <v>Sep</v>
      </c>
      <c r="D929">
        <v>603.84002699999996</v>
      </c>
      <c r="E929">
        <v>615.59997599999997</v>
      </c>
      <c r="F929">
        <v>595.71002199999998</v>
      </c>
      <c r="G929">
        <v>606.04998799999998</v>
      </c>
      <c r="H929">
        <v>606.04998799999998</v>
      </c>
      <c r="I929">
        <f t="shared" si="58"/>
        <v>2.2099610000000212</v>
      </c>
      <c r="J929">
        <v>5424500</v>
      </c>
      <c r="K929">
        <v>-2.46045694200351E-2</v>
      </c>
      <c r="L929">
        <v>-14</v>
      </c>
      <c r="M929">
        <f t="shared" si="59"/>
        <v>3.6598451596187766E-3</v>
      </c>
      <c r="N929">
        <v>569</v>
      </c>
    </row>
    <row r="930" spans="1:14" x14ac:dyDescent="0.25">
      <c r="A930" s="1">
        <v>44448</v>
      </c>
      <c r="B930" s="1">
        <f t="shared" si="56"/>
        <v>2021</v>
      </c>
      <c r="C930" s="1" t="str">
        <f t="shared" si="57"/>
        <v>Sep</v>
      </c>
      <c r="D930">
        <v>606.46997099999999</v>
      </c>
      <c r="E930">
        <v>609.44000200000005</v>
      </c>
      <c r="F930">
        <v>596.54998799999998</v>
      </c>
      <c r="G930">
        <v>597.53997800000002</v>
      </c>
      <c r="H930">
        <v>597.53997800000002</v>
      </c>
      <c r="I930">
        <f t="shared" si="58"/>
        <v>-8.9299929999999677</v>
      </c>
      <c r="J930">
        <v>2954200</v>
      </c>
      <c r="K930">
        <v>-0.113157894736842</v>
      </c>
      <c r="L930">
        <v>-43</v>
      </c>
      <c r="M930">
        <f t="shared" si="59"/>
        <v>-1.4724542725957931E-2</v>
      </c>
      <c r="N930">
        <v>380</v>
      </c>
    </row>
    <row r="931" spans="1:14" x14ac:dyDescent="0.25">
      <c r="A931" s="1">
        <v>44449</v>
      </c>
      <c r="B931" s="1">
        <f t="shared" si="56"/>
        <v>2021</v>
      </c>
      <c r="C931" s="1" t="str">
        <f t="shared" si="57"/>
        <v>Sep</v>
      </c>
      <c r="D931">
        <v>598.15997300000004</v>
      </c>
      <c r="E931">
        <v>609.45001200000002</v>
      </c>
      <c r="F931">
        <v>593.669983</v>
      </c>
      <c r="G931">
        <v>598.71997099999999</v>
      </c>
      <c r="H931">
        <v>598.71997099999999</v>
      </c>
      <c r="I931">
        <f t="shared" si="58"/>
        <v>0.55999799999995048</v>
      </c>
      <c r="J931">
        <v>3950800</v>
      </c>
      <c r="K931">
        <v>-4.7058823529411702E-2</v>
      </c>
      <c r="L931">
        <v>-20</v>
      </c>
      <c r="M931">
        <f t="shared" si="59"/>
        <v>9.3620105870900598E-4</v>
      </c>
      <c r="N931">
        <v>425</v>
      </c>
    </row>
    <row r="932" spans="1:14" x14ac:dyDescent="0.25">
      <c r="A932" s="1">
        <v>44452</v>
      </c>
      <c r="B932" s="1">
        <f t="shared" si="56"/>
        <v>2021</v>
      </c>
      <c r="C932" s="1" t="str">
        <f t="shared" si="57"/>
        <v>Sep</v>
      </c>
      <c r="D932">
        <v>598.57000700000003</v>
      </c>
      <c r="E932">
        <v>598.57000700000003</v>
      </c>
      <c r="F932">
        <v>582.78002900000001</v>
      </c>
      <c r="G932">
        <v>589.28997800000002</v>
      </c>
      <c r="H932">
        <v>589.28997800000002</v>
      </c>
      <c r="I932">
        <f t="shared" si="58"/>
        <v>-9.2800290000000132</v>
      </c>
      <c r="J932">
        <v>3062900</v>
      </c>
      <c r="K932">
        <v>-6.1007957559681698E-2</v>
      </c>
      <c r="L932">
        <v>-23</v>
      </c>
      <c r="M932">
        <f t="shared" si="59"/>
        <v>-1.5503665221234536E-2</v>
      </c>
      <c r="N932">
        <v>377</v>
      </c>
    </row>
    <row r="933" spans="1:14" x14ac:dyDescent="0.25">
      <c r="A933" s="1">
        <v>44453</v>
      </c>
      <c r="B933" s="1">
        <f t="shared" si="56"/>
        <v>2021</v>
      </c>
      <c r="C933" s="1" t="str">
        <f t="shared" si="57"/>
        <v>Sep</v>
      </c>
      <c r="D933">
        <v>584.89001499999995</v>
      </c>
      <c r="E933">
        <v>587.28002900000001</v>
      </c>
      <c r="F933">
        <v>575.55999799999995</v>
      </c>
      <c r="G933">
        <v>577.76000999999997</v>
      </c>
      <c r="H933">
        <v>577.76000999999997</v>
      </c>
      <c r="I933">
        <f t="shared" si="58"/>
        <v>-7.1300049999999828</v>
      </c>
      <c r="J933">
        <v>3457000</v>
      </c>
      <c r="K933">
        <v>-0.10666666666666599</v>
      </c>
      <c r="L933">
        <v>-32</v>
      </c>
      <c r="M933">
        <f t="shared" si="59"/>
        <v>-1.2190334622142564E-2</v>
      </c>
      <c r="N933">
        <v>300</v>
      </c>
    </row>
    <row r="934" spans="1:14" x14ac:dyDescent="0.25">
      <c r="A934" s="1">
        <v>44454</v>
      </c>
      <c r="B934" s="1">
        <f t="shared" si="56"/>
        <v>2021</v>
      </c>
      <c r="C934" s="1" t="str">
        <f t="shared" si="57"/>
        <v>Sep</v>
      </c>
      <c r="D934">
        <v>578.169983</v>
      </c>
      <c r="E934">
        <v>584.61999500000002</v>
      </c>
      <c r="F934">
        <v>575.36999500000002</v>
      </c>
      <c r="G934">
        <v>582.86999500000002</v>
      </c>
      <c r="H934">
        <v>582.86999500000002</v>
      </c>
      <c r="I934">
        <f t="shared" si="58"/>
        <v>4.7000120000000152</v>
      </c>
      <c r="J934">
        <v>2755600</v>
      </c>
      <c r="K934">
        <v>-6.7340067340066999E-3</v>
      </c>
      <c r="L934">
        <v>-2</v>
      </c>
      <c r="M934">
        <f t="shared" si="59"/>
        <v>8.1291179725600099E-3</v>
      </c>
      <c r="N934">
        <v>297</v>
      </c>
    </row>
    <row r="935" spans="1:14" x14ac:dyDescent="0.25">
      <c r="A935" s="1">
        <v>44455</v>
      </c>
      <c r="B935" s="1">
        <f t="shared" si="56"/>
        <v>2021</v>
      </c>
      <c r="C935" s="1" t="str">
        <f t="shared" si="57"/>
        <v>Sep</v>
      </c>
      <c r="D935">
        <v>584.29998799999998</v>
      </c>
      <c r="E935">
        <v>587.47997999999995</v>
      </c>
      <c r="F935">
        <v>577.71997099999999</v>
      </c>
      <c r="G935">
        <v>586.5</v>
      </c>
      <c r="H935">
        <v>586.5</v>
      </c>
      <c r="I935">
        <f t="shared" si="58"/>
        <v>2.2000120000000152</v>
      </c>
      <c r="J935">
        <v>1832000</v>
      </c>
      <c r="K935">
        <v>-1.9379844961240299E-2</v>
      </c>
      <c r="L935">
        <v>-5</v>
      </c>
      <c r="M935">
        <f t="shared" si="59"/>
        <v>3.7652097299033576E-3</v>
      </c>
      <c r="N935">
        <v>258</v>
      </c>
    </row>
    <row r="936" spans="1:14" x14ac:dyDescent="0.25">
      <c r="A936" s="1">
        <v>44456</v>
      </c>
      <c r="B936" s="1">
        <f t="shared" si="56"/>
        <v>2021</v>
      </c>
      <c r="C936" s="1" t="str">
        <f t="shared" si="57"/>
        <v>Sep</v>
      </c>
      <c r="D936">
        <v>587.84997599999997</v>
      </c>
      <c r="E936">
        <v>590.28002900000001</v>
      </c>
      <c r="F936">
        <v>580.84997599999997</v>
      </c>
      <c r="G936">
        <v>589.34997599999997</v>
      </c>
      <c r="H936">
        <v>589.34997599999997</v>
      </c>
      <c r="I936">
        <f t="shared" si="58"/>
        <v>1.5</v>
      </c>
      <c r="J936">
        <v>4145100</v>
      </c>
      <c r="K936">
        <v>-2.78745644599303E-2</v>
      </c>
      <c r="L936">
        <v>-8</v>
      </c>
      <c r="M936">
        <f t="shared" si="59"/>
        <v>2.5516714489072297E-3</v>
      </c>
      <c r="N936">
        <v>287</v>
      </c>
    </row>
    <row r="937" spans="1:14" x14ac:dyDescent="0.25">
      <c r="A937" s="1">
        <v>44459</v>
      </c>
      <c r="B937" s="1">
        <f t="shared" si="56"/>
        <v>2021</v>
      </c>
      <c r="C937" s="1" t="str">
        <f t="shared" si="57"/>
        <v>Sep</v>
      </c>
      <c r="D937">
        <v>586.78997800000002</v>
      </c>
      <c r="E937">
        <v>591.53002900000001</v>
      </c>
      <c r="F937">
        <v>568.080017</v>
      </c>
      <c r="G937">
        <v>575.42999299999997</v>
      </c>
      <c r="H937">
        <v>575.42999299999997</v>
      </c>
      <c r="I937">
        <f t="shared" si="58"/>
        <v>-11.359985000000052</v>
      </c>
      <c r="J937">
        <v>3732200</v>
      </c>
      <c r="K937">
        <v>-6.5714285714285697E-2</v>
      </c>
      <c r="L937">
        <v>-23</v>
      </c>
      <c r="M937">
        <f t="shared" si="59"/>
        <v>-1.9359541617801884E-2</v>
      </c>
      <c r="N937">
        <v>350</v>
      </c>
    </row>
    <row r="938" spans="1:14" x14ac:dyDescent="0.25">
      <c r="A938" s="1">
        <v>44460</v>
      </c>
      <c r="B938" s="1">
        <f t="shared" si="56"/>
        <v>2021</v>
      </c>
      <c r="C938" s="1" t="str">
        <f t="shared" si="57"/>
        <v>Sep</v>
      </c>
      <c r="D938">
        <v>578.30999799999995</v>
      </c>
      <c r="E938">
        <v>581.88000499999998</v>
      </c>
      <c r="F938">
        <v>569.36999500000002</v>
      </c>
      <c r="G938">
        <v>573.14001499999995</v>
      </c>
      <c r="H938">
        <v>573.14001499999995</v>
      </c>
      <c r="I938">
        <f t="shared" si="58"/>
        <v>-5.169983000000002</v>
      </c>
      <c r="J938">
        <v>2250900</v>
      </c>
      <c r="K938">
        <v>-6.2015503875968901E-2</v>
      </c>
      <c r="L938">
        <v>-16</v>
      </c>
      <c r="M938">
        <f t="shared" si="59"/>
        <v>-8.9398125881959972E-3</v>
      </c>
      <c r="N938">
        <v>258</v>
      </c>
    </row>
    <row r="939" spans="1:14" x14ac:dyDescent="0.25">
      <c r="A939" s="1">
        <v>44461</v>
      </c>
      <c r="B939" s="1">
        <f t="shared" si="56"/>
        <v>2021</v>
      </c>
      <c r="C939" s="1" t="str">
        <f t="shared" si="57"/>
        <v>Sep</v>
      </c>
      <c r="D939">
        <v>579.69000200000005</v>
      </c>
      <c r="E939">
        <v>595.65002400000003</v>
      </c>
      <c r="F939">
        <v>579.69000200000005</v>
      </c>
      <c r="G939">
        <v>590.65002400000003</v>
      </c>
      <c r="H939">
        <v>590.65002400000003</v>
      </c>
      <c r="I939">
        <f t="shared" si="58"/>
        <v>10.960021999999981</v>
      </c>
      <c r="J939">
        <v>4021800</v>
      </c>
      <c r="K939">
        <v>4.0983606557376998E-2</v>
      </c>
      <c r="L939">
        <v>20</v>
      </c>
      <c r="M939">
        <f t="shared" si="59"/>
        <v>1.890669489241938E-2</v>
      </c>
      <c r="N939">
        <v>488</v>
      </c>
    </row>
    <row r="940" spans="1:14" x14ac:dyDescent="0.25">
      <c r="A940" s="1">
        <v>44462</v>
      </c>
      <c r="B940" s="1">
        <f t="shared" si="56"/>
        <v>2021</v>
      </c>
      <c r="C940" s="1" t="str">
        <f t="shared" si="57"/>
        <v>Sep</v>
      </c>
      <c r="D940">
        <v>590.78997800000002</v>
      </c>
      <c r="E940">
        <v>599.32000700000003</v>
      </c>
      <c r="F940">
        <v>589.13000499999998</v>
      </c>
      <c r="G940">
        <v>593.26000999999997</v>
      </c>
      <c r="H940">
        <v>593.26000999999997</v>
      </c>
      <c r="I940">
        <f t="shared" si="58"/>
        <v>2.4700319999999465</v>
      </c>
      <c r="J940">
        <v>2526200</v>
      </c>
      <c r="K940">
        <v>4.33734939759036E-2</v>
      </c>
      <c r="L940">
        <v>18</v>
      </c>
      <c r="M940">
        <f t="shared" si="59"/>
        <v>4.1808969210373886E-3</v>
      </c>
      <c r="N940">
        <v>415</v>
      </c>
    </row>
    <row r="941" spans="1:14" x14ac:dyDescent="0.25">
      <c r="A941" s="1">
        <v>44463</v>
      </c>
      <c r="B941" s="1">
        <f t="shared" si="56"/>
        <v>2021</v>
      </c>
      <c r="C941" s="1" t="str">
        <f t="shared" si="57"/>
        <v>Sep</v>
      </c>
      <c r="D941">
        <v>592.5</v>
      </c>
      <c r="E941">
        <v>592.97997999999995</v>
      </c>
      <c r="F941">
        <v>583.64001499999995</v>
      </c>
      <c r="G941">
        <v>592.39001499999995</v>
      </c>
      <c r="H941">
        <v>592.39001499999995</v>
      </c>
      <c r="I941">
        <f t="shared" si="58"/>
        <v>-0.10998500000005151</v>
      </c>
      <c r="J941">
        <v>2126200</v>
      </c>
      <c r="K941">
        <v>-3.2921810699588397E-2</v>
      </c>
      <c r="L941">
        <v>-8</v>
      </c>
      <c r="M941">
        <f t="shared" si="59"/>
        <v>-1.856286919832093E-4</v>
      </c>
      <c r="N941">
        <v>243</v>
      </c>
    </row>
    <row r="942" spans="1:14" x14ac:dyDescent="0.25">
      <c r="A942" s="1">
        <v>44466</v>
      </c>
      <c r="B942" s="1">
        <f t="shared" si="56"/>
        <v>2021</v>
      </c>
      <c r="C942" s="1" t="str">
        <f t="shared" si="57"/>
        <v>Sep</v>
      </c>
      <c r="D942">
        <v>587.95001200000002</v>
      </c>
      <c r="E942">
        <v>593.580017</v>
      </c>
      <c r="F942">
        <v>576.92999299999997</v>
      </c>
      <c r="G942">
        <v>592.64001499999995</v>
      </c>
      <c r="H942">
        <v>592.64001499999995</v>
      </c>
      <c r="I942">
        <f t="shared" si="58"/>
        <v>4.6900029999999333</v>
      </c>
      <c r="J942">
        <v>2504700</v>
      </c>
      <c r="K942">
        <v>1.40056022408963E-2</v>
      </c>
      <c r="L942">
        <v>5</v>
      </c>
      <c r="M942">
        <f t="shared" si="59"/>
        <v>7.9768737210263608E-3</v>
      </c>
      <c r="N942">
        <v>357</v>
      </c>
    </row>
    <row r="943" spans="1:14" x14ac:dyDescent="0.25">
      <c r="A943" s="1">
        <v>44467</v>
      </c>
      <c r="B943" s="1">
        <f t="shared" si="56"/>
        <v>2021</v>
      </c>
      <c r="C943" s="1" t="str">
        <f t="shared" si="57"/>
        <v>Sep</v>
      </c>
      <c r="D943">
        <v>589</v>
      </c>
      <c r="E943">
        <v>599.53997800000002</v>
      </c>
      <c r="F943">
        <v>580.15997300000004</v>
      </c>
      <c r="G943">
        <v>583.84997599999997</v>
      </c>
      <c r="H943">
        <v>583.84997599999997</v>
      </c>
      <c r="I943">
        <f t="shared" si="58"/>
        <v>-5.1500240000000304</v>
      </c>
      <c r="J943">
        <v>4431100</v>
      </c>
      <c r="K943">
        <v>-0.04</v>
      </c>
      <c r="L943">
        <v>-17</v>
      </c>
      <c r="M943">
        <f t="shared" si="59"/>
        <v>-8.7436740237691515E-3</v>
      </c>
      <c r="N943">
        <v>425</v>
      </c>
    </row>
    <row r="944" spans="1:14" x14ac:dyDescent="0.25">
      <c r="A944" s="1">
        <v>44468</v>
      </c>
      <c r="B944" s="1">
        <f t="shared" si="56"/>
        <v>2021</v>
      </c>
      <c r="C944" s="1" t="str">
        <f t="shared" si="57"/>
        <v>Sep</v>
      </c>
      <c r="D944">
        <v>589.01000999999997</v>
      </c>
      <c r="E944">
        <v>609.88000499999998</v>
      </c>
      <c r="F944">
        <v>588.01000999999997</v>
      </c>
      <c r="G944">
        <v>599.05999799999995</v>
      </c>
      <c r="H944">
        <v>599.05999799999995</v>
      </c>
      <c r="I944">
        <f t="shared" si="58"/>
        <v>10.049987999999985</v>
      </c>
      <c r="J944">
        <v>6221000</v>
      </c>
      <c r="K944">
        <v>-7.9155672823219003E-3</v>
      </c>
      <c r="L944">
        <v>-6</v>
      </c>
      <c r="M944">
        <f t="shared" si="59"/>
        <v>1.7062507986918569E-2</v>
      </c>
      <c r="N944">
        <v>758</v>
      </c>
    </row>
    <row r="945" spans="1:14" x14ac:dyDescent="0.25">
      <c r="A945" s="1">
        <v>44469</v>
      </c>
      <c r="B945" s="1">
        <f t="shared" si="56"/>
        <v>2021</v>
      </c>
      <c r="C945" s="1" t="str">
        <f t="shared" si="57"/>
        <v>Sep</v>
      </c>
      <c r="D945">
        <v>608.04998799999998</v>
      </c>
      <c r="E945">
        <v>619</v>
      </c>
      <c r="F945">
        <v>608.04998799999998</v>
      </c>
      <c r="G945">
        <v>610.34002699999996</v>
      </c>
      <c r="H945">
        <v>610.34002699999996</v>
      </c>
      <c r="I945">
        <f t="shared" si="58"/>
        <v>2.2900389999999788</v>
      </c>
      <c r="J945">
        <v>6612600</v>
      </c>
      <c r="K945">
        <v>1.9635343618513299E-2</v>
      </c>
      <c r="L945">
        <v>14</v>
      </c>
      <c r="M945">
        <f t="shared" si="59"/>
        <v>3.7662018669425232E-3</v>
      </c>
      <c r="N945">
        <v>713</v>
      </c>
    </row>
    <row r="946" spans="1:14" x14ac:dyDescent="0.25">
      <c r="A946" s="1">
        <v>44470</v>
      </c>
      <c r="B946" s="1">
        <f t="shared" si="56"/>
        <v>2021</v>
      </c>
      <c r="C946" s="1" t="str">
        <f t="shared" si="57"/>
        <v>Oct</v>
      </c>
      <c r="D946">
        <v>604.23999000000003</v>
      </c>
      <c r="E946">
        <v>614.98999000000003</v>
      </c>
      <c r="F946">
        <v>597.51000999999997</v>
      </c>
      <c r="G946">
        <v>613.15002400000003</v>
      </c>
      <c r="H946">
        <v>613.15002400000003</v>
      </c>
      <c r="I946">
        <f t="shared" si="58"/>
        <v>8.910033999999996</v>
      </c>
      <c r="J946">
        <v>4090800</v>
      </c>
      <c r="K946">
        <v>-5.3278688524590098E-2</v>
      </c>
      <c r="L946">
        <v>-26</v>
      </c>
      <c r="M946">
        <f t="shared" si="59"/>
        <v>1.4745852885374229E-2</v>
      </c>
      <c r="N946">
        <v>488</v>
      </c>
    </row>
    <row r="947" spans="1:14" x14ac:dyDescent="0.25">
      <c r="A947" s="1">
        <v>44473</v>
      </c>
      <c r="B947" s="1">
        <f t="shared" si="56"/>
        <v>2021</v>
      </c>
      <c r="C947" s="1" t="str">
        <f t="shared" si="57"/>
        <v>Oct</v>
      </c>
      <c r="D947">
        <v>613.39001499999995</v>
      </c>
      <c r="E947">
        <v>626.13000499999998</v>
      </c>
      <c r="F947">
        <v>594.67999299999997</v>
      </c>
      <c r="G947">
        <v>603.34997599999997</v>
      </c>
      <c r="H947">
        <v>603.34997599999997</v>
      </c>
      <c r="I947">
        <f t="shared" si="58"/>
        <v>-10.040038999999979</v>
      </c>
      <c r="J947">
        <v>4995900</v>
      </c>
      <c r="K947">
        <v>-7.9457364341085204E-2</v>
      </c>
      <c r="L947">
        <v>-41</v>
      </c>
      <c r="M947">
        <f t="shared" si="59"/>
        <v>-1.6368116132441411E-2</v>
      </c>
      <c r="N947">
        <v>516</v>
      </c>
    </row>
    <row r="948" spans="1:14" x14ac:dyDescent="0.25">
      <c r="A948" s="1">
        <v>44474</v>
      </c>
      <c r="B948" s="1">
        <f t="shared" si="56"/>
        <v>2021</v>
      </c>
      <c r="C948" s="1" t="str">
        <f t="shared" si="57"/>
        <v>Oct</v>
      </c>
      <c r="D948">
        <v>606.94000200000005</v>
      </c>
      <c r="E948">
        <v>640.39001499999995</v>
      </c>
      <c r="F948">
        <v>606.89001499999995</v>
      </c>
      <c r="G948">
        <v>634.80999799999995</v>
      </c>
      <c r="H948">
        <v>634.80999799999995</v>
      </c>
      <c r="I948">
        <f t="shared" si="58"/>
        <v>27.869995999999901</v>
      </c>
      <c r="J948">
        <v>9534300</v>
      </c>
      <c r="K948">
        <v>1.57635467980295E-2</v>
      </c>
      <c r="L948">
        <v>16</v>
      </c>
      <c r="M948">
        <f t="shared" si="59"/>
        <v>4.5918864975388288E-2</v>
      </c>
      <c r="N948">
        <v>1015</v>
      </c>
    </row>
    <row r="949" spans="1:14" x14ac:dyDescent="0.25">
      <c r="A949" s="1">
        <v>44475</v>
      </c>
      <c r="B949" s="1">
        <f t="shared" si="56"/>
        <v>2021</v>
      </c>
      <c r="C949" s="1" t="str">
        <f t="shared" si="57"/>
        <v>Oct</v>
      </c>
      <c r="D949">
        <v>628.17999299999997</v>
      </c>
      <c r="E949">
        <v>639.86999500000002</v>
      </c>
      <c r="F949">
        <v>626.35998500000005</v>
      </c>
      <c r="G949">
        <v>639.09997599999997</v>
      </c>
      <c r="H949">
        <v>639.09997599999997</v>
      </c>
      <c r="I949">
        <f t="shared" si="58"/>
        <v>10.919983000000002</v>
      </c>
      <c r="J949">
        <v>4580400</v>
      </c>
      <c r="K949">
        <v>-4.6232876712328702E-2</v>
      </c>
      <c r="L949">
        <v>-27</v>
      </c>
      <c r="M949">
        <f t="shared" si="59"/>
        <v>1.7383525616359453E-2</v>
      </c>
      <c r="N949">
        <v>584</v>
      </c>
    </row>
    <row r="950" spans="1:14" x14ac:dyDescent="0.25">
      <c r="A950" s="1">
        <v>44476</v>
      </c>
      <c r="B950" s="1">
        <f t="shared" si="56"/>
        <v>2021</v>
      </c>
      <c r="C950" s="1" t="str">
        <f t="shared" si="57"/>
        <v>Oct</v>
      </c>
      <c r="D950">
        <v>642.22997999999995</v>
      </c>
      <c r="E950">
        <v>646.84002699999996</v>
      </c>
      <c r="F950">
        <v>630.45001200000002</v>
      </c>
      <c r="G950">
        <v>631.84997599999997</v>
      </c>
      <c r="H950">
        <v>631.84997599999997</v>
      </c>
      <c r="I950">
        <f t="shared" si="58"/>
        <v>-10.380003999999985</v>
      </c>
      <c r="J950">
        <v>3556900</v>
      </c>
      <c r="K950">
        <v>-1.6260162601626001E-2</v>
      </c>
      <c r="L950">
        <v>-8</v>
      </c>
      <c r="M950">
        <f t="shared" si="59"/>
        <v>-1.616244075058593E-2</v>
      </c>
      <c r="N950">
        <v>492</v>
      </c>
    </row>
    <row r="951" spans="1:14" x14ac:dyDescent="0.25">
      <c r="A951" s="1">
        <v>44477</v>
      </c>
      <c r="B951" s="1">
        <f t="shared" si="56"/>
        <v>2021</v>
      </c>
      <c r="C951" s="1" t="str">
        <f t="shared" si="57"/>
        <v>Oct</v>
      </c>
      <c r="D951">
        <v>634.169983</v>
      </c>
      <c r="E951">
        <v>643.79998799999998</v>
      </c>
      <c r="F951">
        <v>630.85998500000005</v>
      </c>
      <c r="G951">
        <v>632.65997300000004</v>
      </c>
      <c r="H951">
        <v>632.65997300000004</v>
      </c>
      <c r="I951">
        <f t="shared" si="58"/>
        <v>-1.5100099999999657</v>
      </c>
      <c r="J951">
        <v>3272100</v>
      </c>
      <c r="K951">
        <v>-7.5987841945288695E-2</v>
      </c>
      <c r="L951">
        <v>-25</v>
      </c>
      <c r="M951">
        <f t="shared" si="59"/>
        <v>-2.38108084658426E-3</v>
      </c>
      <c r="N951">
        <v>329</v>
      </c>
    </row>
    <row r="952" spans="1:14" x14ac:dyDescent="0.25">
      <c r="A952" s="1">
        <v>44480</v>
      </c>
      <c r="B952" s="1">
        <f t="shared" si="56"/>
        <v>2021</v>
      </c>
      <c r="C952" s="1" t="str">
        <f t="shared" si="57"/>
        <v>Oct</v>
      </c>
      <c r="D952">
        <v>633.20001200000002</v>
      </c>
      <c r="E952">
        <v>639.419983</v>
      </c>
      <c r="F952">
        <v>626.78002900000001</v>
      </c>
      <c r="G952">
        <v>627.03997800000002</v>
      </c>
      <c r="H952">
        <v>627.03997800000002</v>
      </c>
      <c r="I952">
        <f t="shared" si="58"/>
        <v>-6.160033999999996</v>
      </c>
      <c r="J952">
        <v>2862500</v>
      </c>
      <c r="K952">
        <v>-6.8027210884353706E-2</v>
      </c>
      <c r="L952">
        <v>-30</v>
      </c>
      <c r="M952">
        <f t="shared" si="59"/>
        <v>-9.7284173772251847E-3</v>
      </c>
      <c r="N952">
        <v>441</v>
      </c>
    </row>
    <row r="953" spans="1:14" x14ac:dyDescent="0.25">
      <c r="A953" s="1">
        <v>44481</v>
      </c>
      <c r="B953" s="1">
        <f t="shared" si="56"/>
        <v>2021</v>
      </c>
      <c r="C953" s="1" t="str">
        <f t="shared" si="57"/>
        <v>Oct</v>
      </c>
      <c r="D953">
        <v>633.02002000000005</v>
      </c>
      <c r="E953">
        <v>637.65997300000004</v>
      </c>
      <c r="F953">
        <v>621.98999000000003</v>
      </c>
      <c r="G953">
        <v>624.94000200000005</v>
      </c>
      <c r="H953">
        <v>624.94000200000005</v>
      </c>
      <c r="I953">
        <f t="shared" si="58"/>
        <v>-8.0800179999999955</v>
      </c>
      <c r="J953">
        <v>3227300</v>
      </c>
      <c r="K953">
        <v>-5.4495912806539502E-2</v>
      </c>
      <c r="L953">
        <v>-20</v>
      </c>
      <c r="M953">
        <f t="shared" si="59"/>
        <v>-1.2764237693461883E-2</v>
      </c>
      <c r="N953">
        <v>367</v>
      </c>
    </row>
    <row r="954" spans="1:14" x14ac:dyDescent="0.25">
      <c r="A954" s="1">
        <v>44482</v>
      </c>
      <c r="B954" s="1">
        <f t="shared" si="56"/>
        <v>2021</v>
      </c>
      <c r="C954" s="1" t="str">
        <f t="shared" si="57"/>
        <v>Oct</v>
      </c>
      <c r="D954">
        <v>632.17999299999997</v>
      </c>
      <c r="E954">
        <v>632.17999299999997</v>
      </c>
      <c r="F954">
        <v>622.09997599999997</v>
      </c>
      <c r="G954">
        <v>629.76000999999997</v>
      </c>
      <c r="H954">
        <v>629.76000999999997</v>
      </c>
      <c r="I954">
        <f t="shared" si="58"/>
        <v>-2.419983000000002</v>
      </c>
      <c r="J954">
        <v>2420300</v>
      </c>
      <c r="K954">
        <v>-4.7619047619047603E-2</v>
      </c>
      <c r="L954">
        <v>-17</v>
      </c>
      <c r="M954">
        <f t="shared" si="59"/>
        <v>-3.827996815457591E-3</v>
      </c>
      <c r="N954">
        <v>357</v>
      </c>
    </row>
    <row r="955" spans="1:14" x14ac:dyDescent="0.25">
      <c r="A955" s="1">
        <v>44483</v>
      </c>
      <c r="B955" s="1">
        <f t="shared" si="56"/>
        <v>2021</v>
      </c>
      <c r="C955" s="1" t="str">
        <f t="shared" si="57"/>
        <v>Oct</v>
      </c>
      <c r="D955">
        <v>632.22997999999995</v>
      </c>
      <c r="E955">
        <v>636.88000499999998</v>
      </c>
      <c r="F955">
        <v>626.78997800000002</v>
      </c>
      <c r="G955">
        <v>633.79998799999998</v>
      </c>
      <c r="H955">
        <v>633.79998799999998</v>
      </c>
      <c r="I955">
        <f t="shared" si="58"/>
        <v>1.5700080000000298</v>
      </c>
      <c r="J955">
        <v>2671700</v>
      </c>
      <c r="K955">
        <v>-2.6369168356997898E-2</v>
      </c>
      <c r="L955">
        <v>-13</v>
      </c>
      <c r="M955">
        <f t="shared" si="59"/>
        <v>2.4832862244211036E-3</v>
      </c>
      <c r="N955">
        <v>493</v>
      </c>
    </row>
    <row r="956" spans="1:14" x14ac:dyDescent="0.25">
      <c r="A956" s="1">
        <v>44484</v>
      </c>
      <c r="B956" s="1">
        <f t="shared" si="56"/>
        <v>2021</v>
      </c>
      <c r="C956" s="1" t="str">
        <f t="shared" si="57"/>
        <v>Oct</v>
      </c>
      <c r="D956">
        <v>638</v>
      </c>
      <c r="E956">
        <v>639.419983</v>
      </c>
      <c r="F956">
        <v>625.15997300000004</v>
      </c>
      <c r="G956">
        <v>628.28997800000002</v>
      </c>
      <c r="H956">
        <v>628.28997800000002</v>
      </c>
      <c r="I956">
        <f t="shared" si="58"/>
        <v>-9.7100219999999808</v>
      </c>
      <c r="J956">
        <v>4116900</v>
      </c>
      <c r="K956">
        <v>-7.2916666666666602E-2</v>
      </c>
      <c r="L956">
        <v>-35</v>
      </c>
      <c r="M956">
        <f t="shared" si="59"/>
        <v>-1.5219470219435706E-2</v>
      </c>
      <c r="N956">
        <v>480</v>
      </c>
    </row>
    <row r="957" spans="1:14" x14ac:dyDescent="0.25">
      <c r="A957" s="1">
        <v>44487</v>
      </c>
      <c r="B957" s="1">
        <f t="shared" si="56"/>
        <v>2021</v>
      </c>
      <c r="C957" s="1" t="str">
        <f t="shared" si="57"/>
        <v>Oct</v>
      </c>
      <c r="D957">
        <v>632.09997599999997</v>
      </c>
      <c r="E957">
        <v>638.40997300000004</v>
      </c>
      <c r="F957">
        <v>620.59002699999996</v>
      </c>
      <c r="G957">
        <v>637.96997099999999</v>
      </c>
      <c r="H957">
        <v>637.96997099999999</v>
      </c>
      <c r="I957">
        <f t="shared" si="58"/>
        <v>5.8699950000000172</v>
      </c>
      <c r="J957">
        <v>4669100</v>
      </c>
      <c r="K957">
        <v>-1.45310435931307E-2</v>
      </c>
      <c r="L957">
        <v>-11</v>
      </c>
      <c r="M957">
        <f t="shared" si="59"/>
        <v>9.2864977422495859E-3</v>
      </c>
      <c r="N957">
        <v>757</v>
      </c>
    </row>
    <row r="958" spans="1:14" x14ac:dyDescent="0.25">
      <c r="A958" s="1">
        <v>44488</v>
      </c>
      <c r="B958" s="1">
        <f t="shared" si="56"/>
        <v>2021</v>
      </c>
      <c r="C958" s="1" t="str">
        <f t="shared" si="57"/>
        <v>Oct</v>
      </c>
      <c r="D958">
        <v>636.96997099999999</v>
      </c>
      <c r="E958">
        <v>641</v>
      </c>
      <c r="F958">
        <v>632.29998799999998</v>
      </c>
      <c r="G958">
        <v>639</v>
      </c>
      <c r="H958">
        <v>639</v>
      </c>
      <c r="I958">
        <f t="shared" si="58"/>
        <v>2.0300290000000132</v>
      </c>
      <c r="J958">
        <v>7633100</v>
      </c>
      <c r="K958">
        <v>-4.1522491349480897E-2</v>
      </c>
      <c r="L958">
        <v>-72</v>
      </c>
      <c r="M958">
        <f t="shared" si="59"/>
        <v>3.1870089524204796E-3</v>
      </c>
      <c r="N958">
        <v>1734</v>
      </c>
    </row>
    <row r="959" spans="1:14" x14ac:dyDescent="0.25">
      <c r="A959" s="1">
        <v>44489</v>
      </c>
      <c r="B959" s="1">
        <f t="shared" si="56"/>
        <v>2021</v>
      </c>
      <c r="C959" s="1" t="str">
        <f t="shared" si="57"/>
        <v>Oct</v>
      </c>
      <c r="D959">
        <v>625.57000700000003</v>
      </c>
      <c r="E959">
        <v>637.40002400000003</v>
      </c>
      <c r="F959">
        <v>617.15002400000003</v>
      </c>
      <c r="G959">
        <v>625.14001499999995</v>
      </c>
      <c r="H959">
        <v>625.14001499999995</v>
      </c>
      <c r="I959">
        <f t="shared" si="58"/>
        <v>-0.42999200000008386</v>
      </c>
      <c r="J959">
        <v>10622000</v>
      </c>
      <c r="K959">
        <v>-5.0997782705099699E-2</v>
      </c>
      <c r="L959">
        <v>-69</v>
      </c>
      <c r="M959">
        <f t="shared" si="59"/>
        <v>-6.8736031969014115E-4</v>
      </c>
      <c r="N959">
        <v>1353</v>
      </c>
    </row>
    <row r="960" spans="1:14" x14ac:dyDescent="0.25">
      <c r="A960" s="1">
        <v>44490</v>
      </c>
      <c r="B960" s="1">
        <f t="shared" si="56"/>
        <v>2021</v>
      </c>
      <c r="C960" s="1" t="str">
        <f t="shared" si="57"/>
        <v>Oct</v>
      </c>
      <c r="D960">
        <v>628.89001499999995</v>
      </c>
      <c r="E960">
        <v>654.01000999999997</v>
      </c>
      <c r="F960">
        <v>628.65002400000003</v>
      </c>
      <c r="G960">
        <v>653.15997300000004</v>
      </c>
      <c r="H960">
        <v>653.15997300000004</v>
      </c>
      <c r="I960">
        <f t="shared" si="58"/>
        <v>24.269958000000088</v>
      </c>
      <c r="J960">
        <v>8437100</v>
      </c>
      <c r="K960">
        <v>1.3157894736842099E-2</v>
      </c>
      <c r="L960">
        <v>10</v>
      </c>
      <c r="M960">
        <f t="shared" si="59"/>
        <v>3.8591736903312246E-2</v>
      </c>
      <c r="N960">
        <v>760</v>
      </c>
    </row>
    <row r="961" spans="1:14" x14ac:dyDescent="0.25">
      <c r="A961" s="1">
        <v>44491</v>
      </c>
      <c r="B961" s="1">
        <f t="shared" si="56"/>
        <v>2021</v>
      </c>
      <c r="C961" s="1" t="str">
        <f t="shared" si="57"/>
        <v>Oct</v>
      </c>
      <c r="D961">
        <v>651.80999799999995</v>
      </c>
      <c r="E961">
        <v>665.46002199999998</v>
      </c>
      <c r="F961">
        <v>651.80999799999995</v>
      </c>
      <c r="G961">
        <v>664.78002900000001</v>
      </c>
      <c r="H961">
        <v>664.78002900000001</v>
      </c>
      <c r="I961">
        <f t="shared" si="58"/>
        <v>12.970031000000063</v>
      </c>
      <c r="J961">
        <v>6186000</v>
      </c>
      <c r="K961">
        <v>-2.4074074074074001E-2</v>
      </c>
      <c r="L961">
        <v>-13</v>
      </c>
      <c r="M961">
        <f t="shared" si="59"/>
        <v>1.9898484281918094E-2</v>
      </c>
      <c r="N961">
        <v>540</v>
      </c>
    </row>
    <row r="962" spans="1:14" x14ac:dyDescent="0.25">
      <c r="A962" s="1">
        <v>44494</v>
      </c>
      <c r="B962" s="1">
        <f t="shared" ref="B962:B1025" si="60">YEAR(A962)</f>
        <v>2021</v>
      </c>
      <c r="C962" s="1" t="str">
        <f t="shared" ref="C962:C1025" si="61">TEXT(A962,"mmm")</f>
        <v>Oct</v>
      </c>
      <c r="D962">
        <v>663.73999000000003</v>
      </c>
      <c r="E962">
        <v>675.88000499999998</v>
      </c>
      <c r="F962">
        <v>657.07000700000003</v>
      </c>
      <c r="G962">
        <v>671.65997300000004</v>
      </c>
      <c r="H962">
        <v>671.65997300000004</v>
      </c>
      <c r="I962">
        <f t="shared" ref="I962:I1025" si="62">G962-D962</f>
        <v>7.919983000000002</v>
      </c>
      <c r="J962">
        <v>3833500</v>
      </c>
      <c r="K962">
        <v>9.0702947845804002E-3</v>
      </c>
      <c r="L962">
        <v>4</v>
      </c>
      <c r="M962">
        <f t="shared" ref="M962:M1025" si="63">(G962-D962)/D962</f>
        <v>1.1932357729417512E-2</v>
      </c>
      <c r="N962">
        <v>441</v>
      </c>
    </row>
    <row r="963" spans="1:14" x14ac:dyDescent="0.25">
      <c r="A963" s="1">
        <v>44495</v>
      </c>
      <c r="B963" s="1">
        <f t="shared" si="60"/>
        <v>2021</v>
      </c>
      <c r="C963" s="1" t="str">
        <f t="shared" si="61"/>
        <v>Oct</v>
      </c>
      <c r="D963">
        <v>673.76000999999997</v>
      </c>
      <c r="E963">
        <v>676.48999000000003</v>
      </c>
      <c r="F963">
        <v>662.77002000000005</v>
      </c>
      <c r="G963">
        <v>668.52002000000005</v>
      </c>
      <c r="H963">
        <v>668.52002000000005</v>
      </c>
      <c r="I963">
        <f t="shared" si="62"/>
        <v>-5.2399899999999207</v>
      </c>
      <c r="J963">
        <v>2904800</v>
      </c>
      <c r="K963">
        <v>-5.1724137931034399E-2</v>
      </c>
      <c r="L963">
        <v>-18</v>
      </c>
      <c r="M963">
        <f t="shared" si="63"/>
        <v>-7.7772351018575905E-3</v>
      </c>
      <c r="N963">
        <v>348</v>
      </c>
    </row>
    <row r="964" spans="1:14" x14ac:dyDescent="0.25">
      <c r="A964" s="1">
        <v>44496</v>
      </c>
      <c r="B964" s="1">
        <f t="shared" si="60"/>
        <v>2021</v>
      </c>
      <c r="C964" s="1" t="str">
        <f t="shared" si="61"/>
        <v>Oct</v>
      </c>
      <c r="D964">
        <v>669</v>
      </c>
      <c r="E964">
        <v>671.40997300000004</v>
      </c>
      <c r="F964">
        <v>661.84997599999997</v>
      </c>
      <c r="G964">
        <v>662.919983</v>
      </c>
      <c r="H964">
        <v>662.919983</v>
      </c>
      <c r="I964">
        <f t="shared" si="62"/>
        <v>-6.080016999999998</v>
      </c>
      <c r="J964">
        <v>2276900</v>
      </c>
      <c r="K964">
        <v>-6.3432835820895497E-2</v>
      </c>
      <c r="L964">
        <v>-17</v>
      </c>
      <c r="M964">
        <f t="shared" si="63"/>
        <v>-9.0882167414050793E-3</v>
      </c>
      <c r="N964">
        <v>268</v>
      </c>
    </row>
    <row r="965" spans="1:14" x14ac:dyDescent="0.25">
      <c r="A965" s="1">
        <v>44497</v>
      </c>
      <c r="B965" s="1">
        <f t="shared" si="60"/>
        <v>2021</v>
      </c>
      <c r="C965" s="1" t="str">
        <f t="shared" si="61"/>
        <v>Oct</v>
      </c>
      <c r="D965">
        <v>670.95001200000002</v>
      </c>
      <c r="E965">
        <v>676.79998799999998</v>
      </c>
      <c r="F965">
        <v>668.03002900000001</v>
      </c>
      <c r="G965">
        <v>674.04998799999998</v>
      </c>
      <c r="H965">
        <v>674.04998799999998</v>
      </c>
      <c r="I965">
        <f t="shared" si="62"/>
        <v>3.0999759999999696</v>
      </c>
      <c r="J965">
        <v>2859400</v>
      </c>
      <c r="K965">
        <v>-9.0666666666666604E-2</v>
      </c>
      <c r="L965">
        <v>-34</v>
      </c>
      <c r="M965">
        <f t="shared" si="63"/>
        <v>4.6202786266586575E-3</v>
      </c>
      <c r="N965">
        <v>375</v>
      </c>
    </row>
    <row r="966" spans="1:14" x14ac:dyDescent="0.25">
      <c r="A966" s="1">
        <v>44498</v>
      </c>
      <c r="B966" s="1">
        <f t="shared" si="60"/>
        <v>2021</v>
      </c>
      <c r="C966" s="1" t="str">
        <f t="shared" si="61"/>
        <v>Oct</v>
      </c>
      <c r="D966">
        <v>673.05999799999995</v>
      </c>
      <c r="E966">
        <v>690.96997099999999</v>
      </c>
      <c r="F966">
        <v>671.23999000000003</v>
      </c>
      <c r="G966">
        <v>690.30999799999995</v>
      </c>
      <c r="H966">
        <v>690.30999799999995</v>
      </c>
      <c r="I966">
        <f t="shared" si="62"/>
        <v>17.25</v>
      </c>
      <c r="J966">
        <v>3825300</v>
      </c>
      <c r="K966">
        <v>1.8442622950819599E-2</v>
      </c>
      <c r="L966">
        <v>9</v>
      </c>
      <c r="M966">
        <f t="shared" si="63"/>
        <v>2.5629215896440783E-2</v>
      </c>
      <c r="N966">
        <v>488</v>
      </c>
    </row>
    <row r="967" spans="1:14" x14ac:dyDescent="0.25">
      <c r="A967" s="1">
        <v>44501</v>
      </c>
      <c r="B967" s="1">
        <f t="shared" si="60"/>
        <v>2021</v>
      </c>
      <c r="C967" s="1" t="str">
        <f t="shared" si="61"/>
        <v>Nov</v>
      </c>
      <c r="D967">
        <v>689.05999799999995</v>
      </c>
      <c r="E967">
        <v>689.96997099999999</v>
      </c>
      <c r="F967">
        <v>676.53997800000002</v>
      </c>
      <c r="G967">
        <v>681.169983</v>
      </c>
      <c r="H967">
        <v>681.169983</v>
      </c>
      <c r="I967">
        <f t="shared" si="62"/>
        <v>-7.8900149999999485</v>
      </c>
      <c r="J967">
        <v>3110900</v>
      </c>
      <c r="K967">
        <v>-7.2289156626505993E-2</v>
      </c>
      <c r="L967">
        <v>-24</v>
      </c>
      <c r="M967">
        <f t="shared" si="63"/>
        <v>-1.1450403481410553E-2</v>
      </c>
      <c r="N967">
        <v>332</v>
      </c>
    </row>
    <row r="968" spans="1:14" x14ac:dyDescent="0.25">
      <c r="A968" s="1">
        <v>44502</v>
      </c>
      <c r="B968" s="1">
        <f t="shared" si="60"/>
        <v>2021</v>
      </c>
      <c r="C968" s="1" t="str">
        <f t="shared" si="61"/>
        <v>Nov</v>
      </c>
      <c r="D968">
        <v>683.10998500000005</v>
      </c>
      <c r="E968">
        <v>687.67999299999997</v>
      </c>
      <c r="F968">
        <v>673.82000700000003</v>
      </c>
      <c r="G968">
        <v>677.71997099999999</v>
      </c>
      <c r="H968">
        <v>677.71997099999999</v>
      </c>
      <c r="I968">
        <f t="shared" si="62"/>
        <v>-5.3900140000000647</v>
      </c>
      <c r="J968">
        <v>3888600</v>
      </c>
      <c r="K968">
        <v>-8.0851063829787198E-2</v>
      </c>
      <c r="L968">
        <v>-38</v>
      </c>
      <c r="M968">
        <f t="shared" si="63"/>
        <v>-7.8904043541393482E-3</v>
      </c>
      <c r="N968">
        <v>470</v>
      </c>
    </row>
    <row r="969" spans="1:14" x14ac:dyDescent="0.25">
      <c r="A969" s="1">
        <v>44503</v>
      </c>
      <c r="B969" s="1">
        <f t="shared" si="60"/>
        <v>2021</v>
      </c>
      <c r="C969" s="1" t="str">
        <f t="shared" si="61"/>
        <v>Nov</v>
      </c>
      <c r="D969">
        <v>677.27002000000005</v>
      </c>
      <c r="E969">
        <v>689.39001499999995</v>
      </c>
      <c r="F969">
        <v>677.27002000000005</v>
      </c>
      <c r="G969">
        <v>688.28997800000002</v>
      </c>
      <c r="H969">
        <v>688.28997800000002</v>
      </c>
      <c r="I969">
        <f t="shared" si="62"/>
        <v>11.019957999999974</v>
      </c>
      <c r="J969">
        <v>2334900</v>
      </c>
      <c r="K969">
        <v>-5.2369077306733097E-2</v>
      </c>
      <c r="L969">
        <v>-21</v>
      </c>
      <c r="M969">
        <f t="shared" si="63"/>
        <v>1.6271143967069402E-2</v>
      </c>
      <c r="N969">
        <v>401</v>
      </c>
    </row>
    <row r="970" spans="1:14" x14ac:dyDescent="0.25">
      <c r="A970" s="1">
        <v>44504</v>
      </c>
      <c r="B970" s="1">
        <f t="shared" si="60"/>
        <v>2021</v>
      </c>
      <c r="C970" s="1" t="str">
        <f t="shared" si="61"/>
        <v>Nov</v>
      </c>
      <c r="D970">
        <v>685.89001499999995</v>
      </c>
      <c r="E970">
        <v>685.94000200000005</v>
      </c>
      <c r="F970">
        <v>665.5</v>
      </c>
      <c r="G970">
        <v>668.40002400000003</v>
      </c>
      <c r="H970">
        <v>668.40002400000003</v>
      </c>
      <c r="I970">
        <f t="shared" si="62"/>
        <v>-17.489990999999918</v>
      </c>
      <c r="J970">
        <v>4865000</v>
      </c>
      <c r="K970">
        <v>-6.0773480662983402E-2</v>
      </c>
      <c r="L970">
        <v>-22</v>
      </c>
      <c r="M970">
        <f t="shared" si="63"/>
        <v>-2.5499702018551645E-2</v>
      </c>
      <c r="N970">
        <v>362</v>
      </c>
    </row>
    <row r="971" spans="1:14" x14ac:dyDescent="0.25">
      <c r="A971" s="1">
        <v>44505</v>
      </c>
      <c r="B971" s="1">
        <f t="shared" si="60"/>
        <v>2021</v>
      </c>
      <c r="C971" s="1" t="str">
        <f t="shared" si="61"/>
        <v>Nov</v>
      </c>
      <c r="D971">
        <v>663.96997099999999</v>
      </c>
      <c r="E971">
        <v>665.64001499999995</v>
      </c>
      <c r="F971">
        <v>645.01000999999997</v>
      </c>
      <c r="G971">
        <v>645.71997099999999</v>
      </c>
      <c r="H971">
        <v>645.71997099999999</v>
      </c>
      <c r="I971">
        <f t="shared" si="62"/>
        <v>-18.25</v>
      </c>
      <c r="J971">
        <v>5283500</v>
      </c>
      <c r="K971">
        <v>-5.9405940594059403E-2</v>
      </c>
      <c r="L971">
        <v>-18</v>
      </c>
      <c r="M971">
        <f t="shared" si="63"/>
        <v>-2.7486182805095564E-2</v>
      </c>
      <c r="N971">
        <v>303</v>
      </c>
    </row>
    <row r="972" spans="1:14" x14ac:dyDescent="0.25">
      <c r="A972" s="1">
        <v>44508</v>
      </c>
      <c r="B972" s="1">
        <f t="shared" si="60"/>
        <v>2021</v>
      </c>
      <c r="C972" s="1" t="str">
        <f t="shared" si="61"/>
        <v>Nov</v>
      </c>
      <c r="D972">
        <v>650.28997800000002</v>
      </c>
      <c r="E972">
        <v>656</v>
      </c>
      <c r="F972">
        <v>643.78997800000002</v>
      </c>
      <c r="G972">
        <v>651.45001200000002</v>
      </c>
      <c r="H972">
        <v>651.45001200000002</v>
      </c>
      <c r="I972">
        <f t="shared" si="62"/>
        <v>1.160033999999996</v>
      </c>
      <c r="J972">
        <v>2887500</v>
      </c>
      <c r="K972">
        <v>-3.5598705501618103E-2</v>
      </c>
      <c r="L972">
        <v>-11</v>
      </c>
      <c r="M972">
        <f t="shared" si="63"/>
        <v>1.7838718713884224E-3</v>
      </c>
      <c r="N972">
        <v>309</v>
      </c>
    </row>
    <row r="973" spans="1:14" x14ac:dyDescent="0.25">
      <c r="A973" s="1">
        <v>44509</v>
      </c>
      <c r="B973" s="1">
        <f t="shared" si="60"/>
        <v>2021</v>
      </c>
      <c r="C973" s="1" t="str">
        <f t="shared" si="61"/>
        <v>Nov</v>
      </c>
      <c r="D973">
        <v>653.70001200000002</v>
      </c>
      <c r="E973">
        <v>660.5</v>
      </c>
      <c r="F973">
        <v>650.52002000000005</v>
      </c>
      <c r="G973">
        <v>655.98999000000003</v>
      </c>
      <c r="H973">
        <v>655.98999000000003</v>
      </c>
      <c r="I973">
        <f t="shared" si="62"/>
        <v>2.2899780000000192</v>
      </c>
      <c r="J973">
        <v>2415600</v>
      </c>
      <c r="K973">
        <v>-2.90237467018469E-2</v>
      </c>
      <c r="L973">
        <v>-11</v>
      </c>
      <c r="M973">
        <f t="shared" si="63"/>
        <v>3.5031022762166005E-3</v>
      </c>
      <c r="N973">
        <v>379</v>
      </c>
    </row>
    <row r="974" spans="1:14" x14ac:dyDescent="0.25">
      <c r="A974" s="1">
        <v>44510</v>
      </c>
      <c r="B974" s="1">
        <f t="shared" si="60"/>
        <v>2021</v>
      </c>
      <c r="C974" s="1" t="str">
        <f t="shared" si="61"/>
        <v>Nov</v>
      </c>
      <c r="D974">
        <v>653.01000999999997</v>
      </c>
      <c r="E974">
        <v>660.330017</v>
      </c>
      <c r="F974">
        <v>642.10998500000005</v>
      </c>
      <c r="G974">
        <v>646.90997300000004</v>
      </c>
      <c r="H974">
        <v>646.90997300000004</v>
      </c>
      <c r="I974">
        <f t="shared" si="62"/>
        <v>-6.1000369999999293</v>
      </c>
      <c r="J974">
        <v>2405800</v>
      </c>
      <c r="K974">
        <v>-0.11824324324324299</v>
      </c>
      <c r="L974">
        <v>-35</v>
      </c>
      <c r="M974">
        <f t="shared" si="63"/>
        <v>-9.3414142303881835E-3</v>
      </c>
      <c r="N974">
        <v>296</v>
      </c>
    </row>
    <row r="975" spans="1:14" x14ac:dyDescent="0.25">
      <c r="A975" s="1">
        <v>44511</v>
      </c>
      <c r="B975" s="1">
        <f t="shared" si="60"/>
        <v>2021</v>
      </c>
      <c r="C975" s="1" t="str">
        <f t="shared" si="61"/>
        <v>Nov</v>
      </c>
      <c r="D975">
        <v>650.23999000000003</v>
      </c>
      <c r="E975">
        <v>665.82000700000003</v>
      </c>
      <c r="F975">
        <v>649.71002199999998</v>
      </c>
      <c r="G975">
        <v>657.580017</v>
      </c>
      <c r="H975">
        <v>657.580017</v>
      </c>
      <c r="I975">
        <f t="shared" si="62"/>
        <v>7.3400269999999637</v>
      </c>
      <c r="J975">
        <v>2868300</v>
      </c>
      <c r="K975">
        <v>-0.10730593607305899</v>
      </c>
      <c r="L975">
        <v>-47</v>
      </c>
      <c r="M975">
        <f t="shared" si="63"/>
        <v>1.1288181460509625E-2</v>
      </c>
      <c r="N975">
        <v>438</v>
      </c>
    </row>
    <row r="976" spans="1:14" x14ac:dyDescent="0.25">
      <c r="A976" s="1">
        <v>44512</v>
      </c>
      <c r="B976" s="1">
        <f t="shared" si="60"/>
        <v>2021</v>
      </c>
      <c r="C976" s="1" t="str">
        <f t="shared" si="61"/>
        <v>Nov</v>
      </c>
      <c r="D976">
        <v>660.01000999999997</v>
      </c>
      <c r="E976">
        <v>683.34002699999996</v>
      </c>
      <c r="F976">
        <v>653.82000700000003</v>
      </c>
      <c r="G976">
        <v>682.60998500000005</v>
      </c>
      <c r="H976">
        <v>682.60998500000005</v>
      </c>
      <c r="I976">
        <f t="shared" si="62"/>
        <v>22.599975000000086</v>
      </c>
      <c r="J976">
        <v>4198400</v>
      </c>
      <c r="K976">
        <v>-3.5714285714285698E-2</v>
      </c>
      <c r="L976">
        <v>-16</v>
      </c>
      <c r="M976">
        <f t="shared" si="63"/>
        <v>3.4241867028653228E-2</v>
      </c>
      <c r="N976">
        <v>448</v>
      </c>
    </row>
    <row r="977" spans="1:14" x14ac:dyDescent="0.25">
      <c r="A977" s="1">
        <v>44515</v>
      </c>
      <c r="B977" s="1">
        <f t="shared" si="60"/>
        <v>2021</v>
      </c>
      <c r="C977" s="1" t="str">
        <f t="shared" si="61"/>
        <v>Nov</v>
      </c>
      <c r="D977">
        <v>681.23999000000003</v>
      </c>
      <c r="E977">
        <v>685.26000999999997</v>
      </c>
      <c r="F977">
        <v>671.48999000000003</v>
      </c>
      <c r="G977">
        <v>679.330017</v>
      </c>
      <c r="H977">
        <v>679.330017</v>
      </c>
      <c r="I977">
        <f t="shared" si="62"/>
        <v>-1.9099730000000363</v>
      </c>
      <c r="J977">
        <v>2872200</v>
      </c>
      <c r="K977">
        <v>-7.2639225181597997E-3</v>
      </c>
      <c r="L977">
        <v>-3</v>
      </c>
      <c r="M977">
        <f t="shared" si="63"/>
        <v>-2.8036712877058732E-3</v>
      </c>
      <c r="N977">
        <v>413</v>
      </c>
    </row>
    <row r="978" spans="1:14" x14ac:dyDescent="0.25">
      <c r="A978" s="1">
        <v>44516</v>
      </c>
      <c r="B978" s="1">
        <f t="shared" si="60"/>
        <v>2021</v>
      </c>
      <c r="C978" s="1" t="str">
        <f t="shared" si="61"/>
        <v>Nov</v>
      </c>
      <c r="D978">
        <v>678.27002000000005</v>
      </c>
      <c r="E978">
        <v>688.35998500000005</v>
      </c>
      <c r="F978">
        <v>676.90002400000003</v>
      </c>
      <c r="G978">
        <v>687.40002400000003</v>
      </c>
      <c r="H978">
        <v>687.40002400000003</v>
      </c>
      <c r="I978">
        <f t="shared" si="62"/>
        <v>9.1300039999999854</v>
      </c>
      <c r="J978">
        <v>2077400</v>
      </c>
      <c r="K978">
        <v>-6.5830721003134696E-2</v>
      </c>
      <c r="L978">
        <v>-21</v>
      </c>
      <c r="M978">
        <f t="shared" si="63"/>
        <v>1.3460721734391246E-2</v>
      </c>
      <c r="N978">
        <v>319</v>
      </c>
    </row>
    <row r="979" spans="1:14" x14ac:dyDescent="0.25">
      <c r="A979" s="1">
        <v>44517</v>
      </c>
      <c r="B979" s="1">
        <f t="shared" si="60"/>
        <v>2021</v>
      </c>
      <c r="C979" s="1" t="str">
        <f t="shared" si="61"/>
        <v>Nov</v>
      </c>
      <c r="D979">
        <v>690</v>
      </c>
      <c r="E979">
        <v>700.98999000000003</v>
      </c>
      <c r="F979">
        <v>686.09002699999996</v>
      </c>
      <c r="G979">
        <v>691.69000200000005</v>
      </c>
      <c r="H979">
        <v>691.69000200000005</v>
      </c>
      <c r="I979">
        <f t="shared" si="62"/>
        <v>1.6900020000000495</v>
      </c>
      <c r="J979">
        <v>2732800</v>
      </c>
      <c r="K979">
        <v>-2.6128266033254102E-2</v>
      </c>
      <c r="L979">
        <v>-11</v>
      </c>
      <c r="M979">
        <f t="shared" si="63"/>
        <v>2.4492782608696371E-3</v>
      </c>
      <c r="N979">
        <v>421</v>
      </c>
    </row>
    <row r="980" spans="1:14" x14ac:dyDescent="0.25">
      <c r="A980" s="1">
        <v>44518</v>
      </c>
      <c r="B980" s="1">
        <f t="shared" si="60"/>
        <v>2021</v>
      </c>
      <c r="C980" s="1" t="str">
        <f t="shared" si="61"/>
        <v>Nov</v>
      </c>
      <c r="D980">
        <v>691.60998500000005</v>
      </c>
      <c r="E980">
        <v>691.73999000000003</v>
      </c>
      <c r="F980">
        <v>679.73999000000003</v>
      </c>
      <c r="G980">
        <v>682.02002000000005</v>
      </c>
      <c r="H980">
        <v>682.02002000000005</v>
      </c>
      <c r="I980">
        <f t="shared" si="62"/>
        <v>-9.5899650000000065</v>
      </c>
      <c r="J980">
        <v>2012900</v>
      </c>
      <c r="K980">
        <v>-0.105849582172701</v>
      </c>
      <c r="L980">
        <v>-38</v>
      </c>
      <c r="M980">
        <f t="shared" si="63"/>
        <v>-1.3866145960862618E-2</v>
      </c>
      <c r="N980">
        <v>359</v>
      </c>
    </row>
    <row r="981" spans="1:14" x14ac:dyDescent="0.25">
      <c r="A981" s="1">
        <v>44519</v>
      </c>
      <c r="B981" s="1">
        <f t="shared" si="60"/>
        <v>2021</v>
      </c>
      <c r="C981" s="1" t="str">
        <f t="shared" si="61"/>
        <v>Nov</v>
      </c>
      <c r="D981">
        <v>692.34997599999997</v>
      </c>
      <c r="E981">
        <v>694.15997300000004</v>
      </c>
      <c r="F981">
        <v>675</v>
      </c>
      <c r="G981">
        <v>678.79998799999998</v>
      </c>
      <c r="H981">
        <v>678.79998799999998</v>
      </c>
      <c r="I981">
        <f t="shared" si="62"/>
        <v>-13.549987999999985</v>
      </c>
      <c r="J981">
        <v>2613700</v>
      </c>
      <c r="K981">
        <v>-6.4285714285714196E-2</v>
      </c>
      <c r="L981">
        <v>-18</v>
      </c>
      <c r="M981">
        <f t="shared" si="63"/>
        <v>-1.9571009561210682E-2</v>
      </c>
      <c r="N981">
        <v>280</v>
      </c>
    </row>
    <row r="982" spans="1:14" x14ac:dyDescent="0.25">
      <c r="A982" s="1">
        <v>44522</v>
      </c>
      <c r="B982" s="1">
        <f t="shared" si="60"/>
        <v>2021</v>
      </c>
      <c r="C982" s="1" t="str">
        <f t="shared" si="61"/>
        <v>Nov</v>
      </c>
      <c r="D982">
        <v>676.02002000000005</v>
      </c>
      <c r="E982">
        <v>679.47997999999995</v>
      </c>
      <c r="F982">
        <v>656.46997099999999</v>
      </c>
      <c r="G982">
        <v>659.20001200000002</v>
      </c>
      <c r="H982">
        <v>659.20001200000002</v>
      </c>
      <c r="I982">
        <f t="shared" si="62"/>
        <v>-16.82000800000003</v>
      </c>
      <c r="J982">
        <v>2764400</v>
      </c>
      <c r="K982">
        <v>-7.7205882352941096E-2</v>
      </c>
      <c r="L982">
        <v>-21</v>
      </c>
      <c r="M982">
        <f t="shared" si="63"/>
        <v>-2.4880931780689022E-2</v>
      </c>
      <c r="N982">
        <v>272</v>
      </c>
    </row>
    <row r="983" spans="1:14" x14ac:dyDescent="0.25">
      <c r="A983" s="1">
        <v>44523</v>
      </c>
      <c r="B983" s="1">
        <f t="shared" si="60"/>
        <v>2021</v>
      </c>
      <c r="C983" s="1" t="str">
        <f t="shared" si="61"/>
        <v>Nov</v>
      </c>
      <c r="D983">
        <v>658.17999299999997</v>
      </c>
      <c r="E983">
        <v>666.42999299999997</v>
      </c>
      <c r="F983">
        <v>646.04998799999998</v>
      </c>
      <c r="G983">
        <v>654.05999799999995</v>
      </c>
      <c r="H983">
        <v>654.05999799999995</v>
      </c>
      <c r="I983">
        <f t="shared" si="62"/>
        <v>-4.1199950000000172</v>
      </c>
      <c r="J983">
        <v>2320200</v>
      </c>
      <c r="K983">
        <v>-9.1254752851711002E-2</v>
      </c>
      <c r="L983">
        <v>-24</v>
      </c>
      <c r="M983">
        <f t="shared" si="63"/>
        <v>-6.2596782701050853E-3</v>
      </c>
      <c r="N983">
        <v>263</v>
      </c>
    </row>
    <row r="984" spans="1:14" x14ac:dyDescent="0.25">
      <c r="A984" s="1">
        <v>44524</v>
      </c>
      <c r="B984" s="1">
        <f t="shared" si="60"/>
        <v>2021</v>
      </c>
      <c r="C984" s="1" t="str">
        <f t="shared" si="61"/>
        <v>Nov</v>
      </c>
      <c r="D984">
        <v>658.01000999999997</v>
      </c>
      <c r="E984">
        <v>661.44000200000005</v>
      </c>
      <c r="F984">
        <v>651.09997599999997</v>
      </c>
      <c r="G984">
        <v>658.28997800000002</v>
      </c>
      <c r="H984">
        <v>658.28997800000002</v>
      </c>
      <c r="I984">
        <f t="shared" si="62"/>
        <v>0.27996800000005351</v>
      </c>
      <c r="J984">
        <v>1867300</v>
      </c>
      <c r="K984">
        <v>-6.8669527896995694E-2</v>
      </c>
      <c r="L984">
        <v>-16</v>
      </c>
      <c r="M984">
        <f t="shared" si="63"/>
        <v>4.2547680999572261E-4</v>
      </c>
      <c r="N984">
        <v>233</v>
      </c>
    </row>
    <row r="985" spans="1:14" x14ac:dyDescent="0.25">
      <c r="A985" s="1">
        <v>44526</v>
      </c>
      <c r="B985" s="1">
        <f t="shared" si="60"/>
        <v>2021</v>
      </c>
      <c r="C985" s="1" t="str">
        <f t="shared" si="61"/>
        <v>Nov</v>
      </c>
      <c r="D985">
        <v>675</v>
      </c>
      <c r="E985">
        <v>676.40997300000004</v>
      </c>
      <c r="F985">
        <v>660.669983</v>
      </c>
      <c r="G985">
        <v>665.64001499999995</v>
      </c>
      <c r="H985">
        <v>665.64001499999995</v>
      </c>
      <c r="I985">
        <f t="shared" si="62"/>
        <v>-9.3599850000000515</v>
      </c>
      <c r="J985">
        <v>2872500</v>
      </c>
      <c r="K985">
        <v>-8.7349397590361394E-2</v>
      </c>
      <c r="L985">
        <v>-29</v>
      </c>
      <c r="M985">
        <f t="shared" si="63"/>
        <v>-1.386664444444452E-2</v>
      </c>
      <c r="N985">
        <v>332</v>
      </c>
    </row>
    <row r="986" spans="1:14" x14ac:dyDescent="0.25">
      <c r="A986" s="1">
        <v>44529</v>
      </c>
      <c r="B986" s="1">
        <f t="shared" si="60"/>
        <v>2021</v>
      </c>
      <c r="C986" s="1" t="str">
        <f t="shared" si="61"/>
        <v>Nov</v>
      </c>
      <c r="D986">
        <v>663.20001200000002</v>
      </c>
      <c r="E986">
        <v>667.98999000000003</v>
      </c>
      <c r="F986">
        <v>658.28997800000002</v>
      </c>
      <c r="G986">
        <v>663.84002699999996</v>
      </c>
      <c r="H986">
        <v>663.84002699999996</v>
      </c>
      <c r="I986">
        <f t="shared" si="62"/>
        <v>0.64001499999994849</v>
      </c>
      <c r="J986">
        <v>2529400</v>
      </c>
      <c r="K986">
        <v>-8.7136929460580895E-2</v>
      </c>
      <c r="L986">
        <v>-21</v>
      </c>
      <c r="M986">
        <f t="shared" si="63"/>
        <v>9.6504069423923426E-4</v>
      </c>
      <c r="N986">
        <v>241</v>
      </c>
    </row>
    <row r="987" spans="1:14" x14ac:dyDescent="0.25">
      <c r="A987" s="1">
        <v>44530</v>
      </c>
      <c r="B987" s="1">
        <f t="shared" si="60"/>
        <v>2021</v>
      </c>
      <c r="C987" s="1" t="str">
        <f t="shared" si="61"/>
        <v>Nov</v>
      </c>
      <c r="D987">
        <v>668.20001200000002</v>
      </c>
      <c r="E987">
        <v>675.38000499999998</v>
      </c>
      <c r="F987">
        <v>640.01000999999997</v>
      </c>
      <c r="G987">
        <v>641.90002400000003</v>
      </c>
      <c r="H987">
        <v>641.90002400000003</v>
      </c>
      <c r="I987">
        <f t="shared" si="62"/>
        <v>-26.299987999999985</v>
      </c>
      <c r="J987">
        <v>5608900</v>
      </c>
      <c r="K987">
        <v>-6.19469026548672E-2</v>
      </c>
      <c r="L987">
        <v>-21</v>
      </c>
      <c r="M987">
        <f t="shared" si="63"/>
        <v>-3.9359454546073827E-2</v>
      </c>
      <c r="N987">
        <v>339</v>
      </c>
    </row>
    <row r="988" spans="1:14" x14ac:dyDescent="0.25">
      <c r="A988" s="1">
        <v>44531</v>
      </c>
      <c r="B988" s="1">
        <f t="shared" si="60"/>
        <v>2021</v>
      </c>
      <c r="C988" s="1" t="str">
        <f t="shared" si="61"/>
        <v>Dec</v>
      </c>
      <c r="D988">
        <v>649.47997999999995</v>
      </c>
      <c r="E988">
        <v>654.52002000000005</v>
      </c>
      <c r="F988">
        <v>617.07000700000003</v>
      </c>
      <c r="G988">
        <v>617.77002000000005</v>
      </c>
      <c r="H988">
        <v>617.77002000000005</v>
      </c>
      <c r="I988">
        <f t="shared" si="62"/>
        <v>-31.70995999999991</v>
      </c>
      <c r="J988">
        <v>3882800</v>
      </c>
      <c r="K988">
        <v>-9.6875000000000003E-2</v>
      </c>
      <c r="L988">
        <v>-31</v>
      </c>
      <c r="M988">
        <f t="shared" si="63"/>
        <v>-4.882361423981061E-2</v>
      </c>
      <c r="N988">
        <v>320</v>
      </c>
    </row>
    <row r="989" spans="1:14" x14ac:dyDescent="0.25">
      <c r="A989" s="1">
        <v>44532</v>
      </c>
      <c r="B989" s="1">
        <f t="shared" si="60"/>
        <v>2021</v>
      </c>
      <c r="C989" s="1" t="str">
        <f t="shared" si="61"/>
        <v>Dec</v>
      </c>
      <c r="D989">
        <v>617.09997599999997</v>
      </c>
      <c r="E989">
        <v>625.35998500000005</v>
      </c>
      <c r="F989">
        <v>612.88000499999998</v>
      </c>
      <c r="G989">
        <v>616.46997099999999</v>
      </c>
      <c r="H989">
        <v>616.46997099999999</v>
      </c>
      <c r="I989">
        <f t="shared" si="62"/>
        <v>-0.63000499999998283</v>
      </c>
      <c r="J989">
        <v>3331100</v>
      </c>
      <c r="K989">
        <v>-0.11570247933884199</v>
      </c>
      <c r="L989">
        <v>-28</v>
      </c>
      <c r="M989">
        <f t="shared" si="63"/>
        <v>-1.020912371579776E-3</v>
      </c>
      <c r="N989">
        <v>242</v>
      </c>
    </row>
    <row r="990" spans="1:14" x14ac:dyDescent="0.25">
      <c r="A990" s="1">
        <v>44533</v>
      </c>
      <c r="B990" s="1">
        <f t="shared" si="60"/>
        <v>2021</v>
      </c>
      <c r="C990" s="1" t="str">
        <f t="shared" si="61"/>
        <v>Dec</v>
      </c>
      <c r="D990">
        <v>622.75</v>
      </c>
      <c r="E990">
        <v>625.5</v>
      </c>
      <c r="F990">
        <v>594</v>
      </c>
      <c r="G990">
        <v>602.13000499999998</v>
      </c>
      <c r="H990">
        <v>602.13000499999998</v>
      </c>
      <c r="I990">
        <f t="shared" si="62"/>
        <v>-20.619995000000017</v>
      </c>
      <c r="J990">
        <v>4829300</v>
      </c>
      <c r="K990">
        <v>-0.152249134948096</v>
      </c>
      <c r="L990">
        <v>-44</v>
      </c>
      <c r="M990">
        <f t="shared" si="63"/>
        <v>-3.3111192292252137E-2</v>
      </c>
      <c r="N990">
        <v>289</v>
      </c>
    </row>
    <row r="991" spans="1:14" x14ac:dyDescent="0.25">
      <c r="A991" s="1">
        <v>44536</v>
      </c>
      <c r="B991" s="1">
        <f t="shared" si="60"/>
        <v>2021</v>
      </c>
      <c r="C991" s="1" t="str">
        <f t="shared" si="61"/>
        <v>Dec</v>
      </c>
      <c r="D991">
        <v>606.01000999999997</v>
      </c>
      <c r="E991">
        <v>617.28997800000002</v>
      </c>
      <c r="F991">
        <v>601</v>
      </c>
      <c r="G991">
        <v>612.69000200000005</v>
      </c>
      <c r="H991">
        <v>612.69000200000005</v>
      </c>
      <c r="I991">
        <f t="shared" si="62"/>
        <v>6.6799920000000839</v>
      </c>
      <c r="J991">
        <v>3075700</v>
      </c>
      <c r="K991">
        <v>-9.7014925373134303E-2</v>
      </c>
      <c r="L991">
        <v>-26</v>
      </c>
      <c r="M991">
        <f t="shared" si="63"/>
        <v>1.1022907030859249E-2</v>
      </c>
      <c r="N991">
        <v>268</v>
      </c>
    </row>
    <row r="992" spans="1:14" x14ac:dyDescent="0.25">
      <c r="A992" s="1">
        <v>44537</v>
      </c>
      <c r="B992" s="1">
        <f t="shared" si="60"/>
        <v>2021</v>
      </c>
      <c r="C992" s="1" t="str">
        <f t="shared" si="61"/>
        <v>Dec</v>
      </c>
      <c r="D992">
        <v>619.830017</v>
      </c>
      <c r="E992">
        <v>628.89001499999995</v>
      </c>
      <c r="F992">
        <v>611.40002400000003</v>
      </c>
      <c r="G992">
        <v>625.580017</v>
      </c>
      <c r="H992">
        <v>625.580017</v>
      </c>
      <c r="I992">
        <f t="shared" si="62"/>
        <v>5.75</v>
      </c>
      <c r="J992">
        <v>3125200</v>
      </c>
      <c r="K992">
        <v>-3.5031847133757898E-2</v>
      </c>
      <c r="L992">
        <v>-11</v>
      </c>
      <c r="M992">
        <f t="shared" si="63"/>
        <v>9.2767369154372527E-3</v>
      </c>
      <c r="N992">
        <v>314</v>
      </c>
    </row>
    <row r="993" spans="1:14" x14ac:dyDescent="0.25">
      <c r="A993" s="1">
        <v>44538</v>
      </c>
      <c r="B993" s="1">
        <f t="shared" si="60"/>
        <v>2021</v>
      </c>
      <c r="C993" s="1" t="str">
        <f t="shared" si="61"/>
        <v>Dec</v>
      </c>
      <c r="D993">
        <v>630</v>
      </c>
      <c r="E993">
        <v>632.46002199999998</v>
      </c>
      <c r="F993">
        <v>623.20001200000002</v>
      </c>
      <c r="G993">
        <v>628.080017</v>
      </c>
      <c r="H993">
        <v>628.080017</v>
      </c>
      <c r="I993">
        <f t="shared" si="62"/>
        <v>-1.919983000000002</v>
      </c>
      <c r="J993">
        <v>2220300</v>
      </c>
      <c r="K993">
        <v>-5.0632911392405E-2</v>
      </c>
      <c r="L993">
        <v>-12</v>
      </c>
      <c r="M993">
        <f t="shared" si="63"/>
        <v>-3.0475920634920666E-3</v>
      </c>
      <c r="N993">
        <v>237</v>
      </c>
    </row>
    <row r="994" spans="1:14" x14ac:dyDescent="0.25">
      <c r="A994" s="1">
        <v>44539</v>
      </c>
      <c r="B994" s="1">
        <f t="shared" si="60"/>
        <v>2021</v>
      </c>
      <c r="C994" s="1" t="str">
        <f t="shared" si="61"/>
        <v>Dec</v>
      </c>
      <c r="D994">
        <v>627.580017</v>
      </c>
      <c r="E994">
        <v>630.23999000000003</v>
      </c>
      <c r="F994">
        <v>610.44000200000005</v>
      </c>
      <c r="G994">
        <v>611</v>
      </c>
      <c r="H994">
        <v>611</v>
      </c>
      <c r="I994">
        <f t="shared" si="62"/>
        <v>-16.580016999999998</v>
      </c>
      <c r="J994">
        <v>2376300</v>
      </c>
      <c r="K994">
        <v>-0.15300546448087399</v>
      </c>
      <c r="L994">
        <v>-28</v>
      </c>
      <c r="M994">
        <f t="shared" si="63"/>
        <v>-2.6418968977465065E-2</v>
      </c>
      <c r="N994">
        <v>183</v>
      </c>
    </row>
    <row r="995" spans="1:14" x14ac:dyDescent="0.25">
      <c r="A995" s="1">
        <v>44540</v>
      </c>
      <c r="B995" s="1">
        <f t="shared" si="60"/>
        <v>2021</v>
      </c>
      <c r="C995" s="1" t="str">
        <f t="shared" si="61"/>
        <v>Dec</v>
      </c>
      <c r="D995">
        <v>616.78002900000001</v>
      </c>
      <c r="E995">
        <v>617.73999000000003</v>
      </c>
      <c r="F995">
        <v>605.88000499999998</v>
      </c>
      <c r="G995">
        <v>611.65997300000004</v>
      </c>
      <c r="H995">
        <v>611.65997300000004</v>
      </c>
      <c r="I995">
        <f t="shared" si="62"/>
        <v>-5.1200559999999768</v>
      </c>
      <c r="J995">
        <v>2748800</v>
      </c>
      <c r="K995">
        <v>-0.15048543689320301</v>
      </c>
      <c r="L995">
        <v>-31</v>
      </c>
      <c r="M995">
        <f t="shared" si="63"/>
        <v>-8.3012674847809907E-3</v>
      </c>
      <c r="N995">
        <v>206</v>
      </c>
    </row>
    <row r="996" spans="1:14" x14ac:dyDescent="0.25">
      <c r="A996" s="1">
        <v>44543</v>
      </c>
      <c r="B996" s="1">
        <f t="shared" si="60"/>
        <v>2021</v>
      </c>
      <c r="C996" s="1" t="str">
        <f t="shared" si="61"/>
        <v>Dec</v>
      </c>
      <c r="D996">
        <v>612</v>
      </c>
      <c r="E996">
        <v>612.64001499999995</v>
      </c>
      <c r="F996">
        <v>599.52002000000005</v>
      </c>
      <c r="G996">
        <v>604.55999799999995</v>
      </c>
      <c r="H996">
        <v>604.55999799999995</v>
      </c>
      <c r="I996">
        <f t="shared" si="62"/>
        <v>-7.4400020000000495</v>
      </c>
      <c r="J996">
        <v>2517900</v>
      </c>
      <c r="K996">
        <v>-7.2519083969465603E-2</v>
      </c>
      <c r="L996">
        <v>-19</v>
      </c>
      <c r="M996">
        <f t="shared" si="63"/>
        <v>-1.2156866013071976E-2</v>
      </c>
      <c r="N996">
        <v>262</v>
      </c>
    </row>
    <row r="997" spans="1:14" x14ac:dyDescent="0.25">
      <c r="A997" s="1">
        <v>44544</v>
      </c>
      <c r="B997" s="1">
        <f t="shared" si="60"/>
        <v>2021</v>
      </c>
      <c r="C997" s="1" t="str">
        <f t="shared" si="61"/>
        <v>Dec</v>
      </c>
      <c r="D997">
        <v>598.71002199999998</v>
      </c>
      <c r="E997">
        <v>602.28997800000002</v>
      </c>
      <c r="F997">
        <v>588.13000499999998</v>
      </c>
      <c r="G997">
        <v>597.98999000000003</v>
      </c>
      <c r="H997">
        <v>597.98999000000003</v>
      </c>
      <c r="I997">
        <f t="shared" si="62"/>
        <v>-0.72003199999994649</v>
      </c>
      <c r="J997">
        <v>2984500</v>
      </c>
      <c r="K997">
        <v>-0.111464968152866</v>
      </c>
      <c r="L997">
        <v>-35</v>
      </c>
      <c r="M997">
        <f t="shared" si="63"/>
        <v>-1.2026389630069472E-3</v>
      </c>
      <c r="N997">
        <v>314</v>
      </c>
    </row>
    <row r="998" spans="1:14" x14ac:dyDescent="0.25">
      <c r="A998" s="1">
        <v>44545</v>
      </c>
      <c r="B998" s="1">
        <f t="shared" si="60"/>
        <v>2021</v>
      </c>
      <c r="C998" s="1" t="str">
        <f t="shared" si="61"/>
        <v>Dec</v>
      </c>
      <c r="D998">
        <v>598.17999299999997</v>
      </c>
      <c r="E998">
        <v>605.69000200000005</v>
      </c>
      <c r="F998">
        <v>584.51000999999997</v>
      </c>
      <c r="G998">
        <v>605.03997800000002</v>
      </c>
      <c r="H998">
        <v>605.03997800000002</v>
      </c>
      <c r="I998">
        <f t="shared" si="62"/>
        <v>6.8599850000000515</v>
      </c>
      <c r="J998">
        <v>2866200</v>
      </c>
      <c r="K998">
        <v>-2.9739776951672799E-2</v>
      </c>
      <c r="L998">
        <v>-8</v>
      </c>
      <c r="M998">
        <f t="shared" si="63"/>
        <v>1.1468095022028014E-2</v>
      </c>
      <c r="N998">
        <v>269</v>
      </c>
    </row>
    <row r="999" spans="1:14" x14ac:dyDescent="0.25">
      <c r="A999" s="1">
        <v>44546</v>
      </c>
      <c r="B999" s="1">
        <f t="shared" si="60"/>
        <v>2021</v>
      </c>
      <c r="C999" s="1" t="str">
        <f t="shared" si="61"/>
        <v>Dec</v>
      </c>
      <c r="D999">
        <v>597.09002699999996</v>
      </c>
      <c r="E999">
        <v>602.830017</v>
      </c>
      <c r="F999">
        <v>588</v>
      </c>
      <c r="G999">
        <v>591.05999799999995</v>
      </c>
      <c r="H999">
        <v>591.05999799999995</v>
      </c>
      <c r="I999">
        <f t="shared" si="62"/>
        <v>-6.0300290000000132</v>
      </c>
      <c r="J999">
        <v>3143200</v>
      </c>
      <c r="K999">
        <v>-6.9105691056910501E-2</v>
      </c>
      <c r="L999">
        <v>-17</v>
      </c>
      <c r="M999">
        <f t="shared" si="63"/>
        <v>-1.0099028165479664E-2</v>
      </c>
      <c r="N999">
        <v>246</v>
      </c>
    </row>
    <row r="1000" spans="1:14" x14ac:dyDescent="0.25">
      <c r="A1000" s="1">
        <v>44547</v>
      </c>
      <c r="B1000" s="1">
        <f t="shared" si="60"/>
        <v>2021</v>
      </c>
      <c r="C1000" s="1" t="str">
        <f t="shared" si="61"/>
        <v>Dec</v>
      </c>
      <c r="D1000">
        <v>591.60998500000005</v>
      </c>
      <c r="E1000">
        <v>593.25</v>
      </c>
      <c r="F1000">
        <v>581.73999000000003</v>
      </c>
      <c r="G1000">
        <v>586.72997999999995</v>
      </c>
      <c r="H1000">
        <v>586.72997999999995</v>
      </c>
      <c r="I1000">
        <f t="shared" si="62"/>
        <v>-4.8800050000000965</v>
      </c>
      <c r="J1000">
        <v>4386900</v>
      </c>
      <c r="K1000">
        <v>-7.7253218884120095E-2</v>
      </c>
      <c r="L1000">
        <v>-18</v>
      </c>
      <c r="M1000">
        <f t="shared" si="63"/>
        <v>-8.2486859987667312E-3</v>
      </c>
      <c r="N1000">
        <v>233</v>
      </c>
    </row>
    <row r="1001" spans="1:14" x14ac:dyDescent="0.25">
      <c r="A1001" s="1">
        <v>44550</v>
      </c>
      <c r="B1001" s="1">
        <f t="shared" si="60"/>
        <v>2021</v>
      </c>
      <c r="C1001" s="1" t="str">
        <f t="shared" si="61"/>
        <v>Dec</v>
      </c>
      <c r="D1001">
        <v>586.42999299999997</v>
      </c>
      <c r="E1001">
        <v>602.88000499999998</v>
      </c>
      <c r="F1001">
        <v>584.26000999999997</v>
      </c>
      <c r="G1001">
        <v>593.73999000000003</v>
      </c>
      <c r="H1001">
        <v>593.73999000000003</v>
      </c>
      <c r="I1001">
        <f t="shared" si="62"/>
        <v>7.3099970000000667</v>
      </c>
      <c r="J1001">
        <v>3358400</v>
      </c>
      <c r="K1001">
        <v>-1.7595307917888499E-2</v>
      </c>
      <c r="L1001">
        <v>-6</v>
      </c>
      <c r="M1001">
        <f t="shared" si="63"/>
        <v>1.2465250903359008E-2</v>
      </c>
      <c r="N1001">
        <v>341</v>
      </c>
    </row>
    <row r="1002" spans="1:14" x14ac:dyDescent="0.25">
      <c r="A1002" s="1">
        <v>44551</v>
      </c>
      <c r="B1002" s="1">
        <f t="shared" si="60"/>
        <v>2021</v>
      </c>
      <c r="C1002" s="1" t="str">
        <f t="shared" si="61"/>
        <v>Dec</v>
      </c>
      <c r="D1002">
        <v>597.53997800000002</v>
      </c>
      <c r="E1002">
        <v>607.82000700000003</v>
      </c>
      <c r="F1002">
        <v>593.85998500000005</v>
      </c>
      <c r="G1002">
        <v>604.919983</v>
      </c>
      <c r="H1002">
        <v>604.919983</v>
      </c>
      <c r="I1002">
        <f t="shared" si="62"/>
        <v>7.3800049999999828</v>
      </c>
      <c r="J1002">
        <v>2319400</v>
      </c>
      <c r="K1002">
        <v>-2.2792022792022699E-2</v>
      </c>
      <c r="L1002">
        <v>-8</v>
      </c>
      <c r="M1002">
        <f t="shared" si="63"/>
        <v>1.235064643658032E-2</v>
      </c>
      <c r="N1002">
        <v>351</v>
      </c>
    </row>
    <row r="1003" spans="1:14" x14ac:dyDescent="0.25">
      <c r="A1003" s="1">
        <v>44552</v>
      </c>
      <c r="B1003" s="1">
        <f t="shared" si="60"/>
        <v>2021</v>
      </c>
      <c r="C1003" s="1" t="str">
        <f t="shared" si="61"/>
        <v>Dec</v>
      </c>
      <c r="D1003">
        <v>603.35998500000005</v>
      </c>
      <c r="E1003">
        <v>614.82000700000003</v>
      </c>
      <c r="F1003">
        <v>602.63000499999998</v>
      </c>
      <c r="G1003">
        <v>614.23999000000003</v>
      </c>
      <c r="H1003">
        <v>614.23999000000003</v>
      </c>
      <c r="I1003">
        <f t="shared" si="62"/>
        <v>10.880004999999983</v>
      </c>
      <c r="J1003">
        <v>2335700</v>
      </c>
      <c r="K1003">
        <v>-1.0344827586206799E-2</v>
      </c>
      <c r="L1003">
        <v>-3</v>
      </c>
      <c r="M1003">
        <f t="shared" si="63"/>
        <v>1.8032360896455508E-2</v>
      </c>
      <c r="N1003">
        <v>290</v>
      </c>
    </row>
    <row r="1004" spans="1:14" x14ac:dyDescent="0.25">
      <c r="A1004" s="1">
        <v>44553</v>
      </c>
      <c r="B1004" s="1">
        <f t="shared" si="60"/>
        <v>2021</v>
      </c>
      <c r="C1004" s="1" t="str">
        <f t="shared" si="61"/>
        <v>Dec</v>
      </c>
      <c r="D1004">
        <v>616.40002400000003</v>
      </c>
      <c r="E1004">
        <v>616.88000499999998</v>
      </c>
      <c r="F1004">
        <v>607.57000700000003</v>
      </c>
      <c r="G1004">
        <v>614.09002699999996</v>
      </c>
      <c r="H1004">
        <v>614.09002699999996</v>
      </c>
      <c r="I1004">
        <f t="shared" si="62"/>
        <v>-2.3099970000000667</v>
      </c>
      <c r="J1004">
        <v>1621100</v>
      </c>
      <c r="K1004">
        <v>-3.1620553359683702E-2</v>
      </c>
      <c r="L1004">
        <v>-8</v>
      </c>
      <c r="M1004">
        <f t="shared" si="63"/>
        <v>-3.7475615023663052E-3</v>
      </c>
      <c r="N1004">
        <v>253</v>
      </c>
    </row>
    <row r="1005" spans="1:14" x14ac:dyDescent="0.25">
      <c r="A1005" s="1">
        <v>44557</v>
      </c>
      <c r="B1005" s="1">
        <f t="shared" si="60"/>
        <v>2021</v>
      </c>
      <c r="C1005" s="1" t="str">
        <f t="shared" si="61"/>
        <v>Dec</v>
      </c>
      <c r="D1005">
        <v>615</v>
      </c>
      <c r="E1005">
        <v>615</v>
      </c>
      <c r="F1005">
        <v>609.25</v>
      </c>
      <c r="G1005">
        <v>613.11999500000002</v>
      </c>
      <c r="H1005">
        <v>613.11999500000002</v>
      </c>
      <c r="I1005">
        <f t="shared" si="62"/>
        <v>-1.8800049999999828</v>
      </c>
      <c r="J1005">
        <v>2061500</v>
      </c>
      <c r="K1005">
        <v>-2.77777777777777E-2</v>
      </c>
      <c r="L1005">
        <v>-6</v>
      </c>
      <c r="M1005">
        <f t="shared" si="63"/>
        <v>-3.056918699186964E-3</v>
      </c>
      <c r="N1005">
        <v>216</v>
      </c>
    </row>
    <row r="1006" spans="1:14" x14ac:dyDescent="0.25">
      <c r="A1006" s="1">
        <v>44558</v>
      </c>
      <c r="B1006" s="1">
        <f t="shared" si="60"/>
        <v>2021</v>
      </c>
      <c r="C1006" s="1" t="str">
        <f t="shared" si="61"/>
        <v>Dec</v>
      </c>
      <c r="D1006">
        <v>614.95001200000002</v>
      </c>
      <c r="E1006">
        <v>618.40997300000004</v>
      </c>
      <c r="F1006">
        <v>609.69000200000005</v>
      </c>
      <c r="G1006">
        <v>610.71002199999998</v>
      </c>
      <c r="H1006">
        <v>610.71002199999998</v>
      </c>
      <c r="I1006">
        <f t="shared" si="62"/>
        <v>-4.2399900000000343</v>
      </c>
      <c r="J1006">
        <v>1882800</v>
      </c>
      <c r="K1006">
        <v>-5.8309037900874001E-3</v>
      </c>
      <c r="L1006">
        <v>-2</v>
      </c>
      <c r="M1006">
        <f t="shared" si="63"/>
        <v>-6.8948531055562194E-3</v>
      </c>
      <c r="N1006">
        <v>343</v>
      </c>
    </row>
    <row r="1007" spans="1:14" x14ac:dyDescent="0.25">
      <c r="A1007" s="1">
        <v>44559</v>
      </c>
      <c r="B1007" s="1">
        <f t="shared" si="60"/>
        <v>2021</v>
      </c>
      <c r="C1007" s="1" t="str">
        <f t="shared" si="61"/>
        <v>Dec</v>
      </c>
      <c r="D1007">
        <v>610.71002199999998</v>
      </c>
      <c r="E1007">
        <v>613.97997999999995</v>
      </c>
      <c r="F1007">
        <v>604.67999299999997</v>
      </c>
      <c r="G1007">
        <v>610.53997800000002</v>
      </c>
      <c r="H1007">
        <v>610.53997800000002</v>
      </c>
      <c r="I1007">
        <f t="shared" si="62"/>
        <v>-0.17004399999996167</v>
      </c>
      <c r="J1007">
        <v>1287200</v>
      </c>
      <c r="K1007">
        <v>-5.52763819095477E-2</v>
      </c>
      <c r="L1007">
        <v>-11</v>
      </c>
      <c r="M1007">
        <f t="shared" si="63"/>
        <v>-2.7843656379354729E-4</v>
      </c>
      <c r="N1007">
        <v>199</v>
      </c>
    </row>
    <row r="1008" spans="1:14" x14ac:dyDescent="0.25">
      <c r="A1008" s="1">
        <v>44560</v>
      </c>
      <c r="B1008" s="1">
        <f t="shared" si="60"/>
        <v>2021</v>
      </c>
      <c r="C1008" s="1" t="str">
        <f t="shared" si="61"/>
        <v>Dec</v>
      </c>
      <c r="D1008">
        <v>612.98999000000003</v>
      </c>
      <c r="E1008">
        <v>620.60998500000005</v>
      </c>
      <c r="F1008">
        <v>611.23999000000003</v>
      </c>
      <c r="G1008">
        <v>612.09002699999996</v>
      </c>
      <c r="H1008">
        <v>612.09002699999996</v>
      </c>
      <c r="I1008">
        <f t="shared" si="62"/>
        <v>-0.89996300000007068</v>
      </c>
      <c r="J1008">
        <v>1625100</v>
      </c>
      <c r="K1008">
        <v>-3.8235294117646999E-2</v>
      </c>
      <c r="L1008">
        <v>-13</v>
      </c>
      <c r="M1008">
        <f t="shared" si="63"/>
        <v>-1.4681528486298293E-3</v>
      </c>
      <c r="N1008">
        <v>340</v>
      </c>
    </row>
    <row r="1009" spans="1:14" x14ac:dyDescent="0.25">
      <c r="A1009" s="1">
        <v>44561</v>
      </c>
      <c r="B1009" s="1">
        <f t="shared" si="60"/>
        <v>2021</v>
      </c>
      <c r="C1009" s="1" t="str">
        <f t="shared" si="61"/>
        <v>Dec</v>
      </c>
      <c r="D1009">
        <v>610.01000999999997</v>
      </c>
      <c r="E1009">
        <v>614.080017</v>
      </c>
      <c r="F1009">
        <v>602.04998799999998</v>
      </c>
      <c r="G1009">
        <v>602.44000200000005</v>
      </c>
      <c r="H1009">
        <v>602.44000200000005</v>
      </c>
      <c r="I1009">
        <f t="shared" si="62"/>
        <v>-7.5700079999999161</v>
      </c>
      <c r="J1009">
        <v>1995900</v>
      </c>
      <c r="K1009">
        <v>-0.101123595505617</v>
      </c>
      <c r="L1009">
        <v>-18</v>
      </c>
      <c r="M1009">
        <f t="shared" si="63"/>
        <v>-1.2409645540078788E-2</v>
      </c>
      <c r="N1009">
        <v>178</v>
      </c>
    </row>
    <row r="1010" spans="1:14" x14ac:dyDescent="0.25">
      <c r="A1010" s="1">
        <v>44564</v>
      </c>
      <c r="B1010" s="1">
        <f t="shared" si="60"/>
        <v>2022</v>
      </c>
      <c r="C1010" s="1" t="str">
        <f t="shared" si="61"/>
        <v>Jan</v>
      </c>
      <c r="D1010">
        <v>605.60998500000005</v>
      </c>
      <c r="E1010">
        <v>609.98999000000003</v>
      </c>
      <c r="F1010">
        <v>590.55999799999995</v>
      </c>
      <c r="G1010">
        <v>597.36999500000002</v>
      </c>
      <c r="H1010">
        <v>597.36999500000002</v>
      </c>
      <c r="I1010">
        <f t="shared" si="62"/>
        <v>-8.2399900000000343</v>
      </c>
      <c r="J1010">
        <v>3067500</v>
      </c>
      <c r="K1010">
        <v>-5.5921052631578899E-2</v>
      </c>
      <c r="L1010">
        <v>-17</v>
      </c>
      <c r="M1010">
        <f t="shared" si="63"/>
        <v>-1.3606099972080272E-2</v>
      </c>
      <c r="N1010">
        <v>304</v>
      </c>
    </row>
    <row r="1011" spans="1:14" x14ac:dyDescent="0.25">
      <c r="A1011" s="1">
        <v>44565</v>
      </c>
      <c r="B1011" s="1">
        <f t="shared" si="60"/>
        <v>2022</v>
      </c>
      <c r="C1011" s="1" t="str">
        <f t="shared" si="61"/>
        <v>Jan</v>
      </c>
      <c r="D1011">
        <v>599.90997300000004</v>
      </c>
      <c r="E1011">
        <v>600.40997300000004</v>
      </c>
      <c r="F1011">
        <v>581.59997599999997</v>
      </c>
      <c r="G1011">
        <v>591.15002400000003</v>
      </c>
      <c r="H1011">
        <v>591.15002400000003</v>
      </c>
      <c r="I1011">
        <f t="shared" si="62"/>
        <v>-8.759949000000006</v>
      </c>
      <c r="J1011">
        <v>4393100</v>
      </c>
      <c r="K1011">
        <v>-8.5365853658536495E-2</v>
      </c>
      <c r="L1011">
        <v>-28</v>
      </c>
      <c r="M1011">
        <f t="shared" si="63"/>
        <v>-1.4602105972990727E-2</v>
      </c>
      <c r="N1011">
        <v>328</v>
      </c>
    </row>
    <row r="1012" spans="1:14" x14ac:dyDescent="0.25">
      <c r="A1012" s="1">
        <v>44566</v>
      </c>
      <c r="B1012" s="1">
        <f t="shared" si="60"/>
        <v>2022</v>
      </c>
      <c r="C1012" s="1" t="str">
        <f t="shared" si="61"/>
        <v>Jan</v>
      </c>
      <c r="D1012">
        <v>592</v>
      </c>
      <c r="E1012">
        <v>592.84002699999996</v>
      </c>
      <c r="F1012">
        <v>566.88000499999998</v>
      </c>
      <c r="G1012">
        <v>567.52002000000005</v>
      </c>
      <c r="H1012">
        <v>567.52002000000005</v>
      </c>
      <c r="I1012">
        <f t="shared" si="62"/>
        <v>-24.479979999999955</v>
      </c>
      <c r="J1012">
        <v>4148700</v>
      </c>
      <c r="K1012">
        <v>-0.13395638629283399</v>
      </c>
      <c r="L1012">
        <v>-43</v>
      </c>
      <c r="M1012">
        <f t="shared" si="63"/>
        <v>-4.1351317567567492E-2</v>
      </c>
      <c r="N1012">
        <v>321</v>
      </c>
    </row>
    <row r="1013" spans="1:14" x14ac:dyDescent="0.25">
      <c r="A1013" s="1">
        <v>44567</v>
      </c>
      <c r="B1013" s="1">
        <f t="shared" si="60"/>
        <v>2022</v>
      </c>
      <c r="C1013" s="1" t="str">
        <f t="shared" si="61"/>
        <v>Jan</v>
      </c>
      <c r="D1013">
        <v>554.34002699999996</v>
      </c>
      <c r="E1013">
        <v>563.35998500000005</v>
      </c>
      <c r="F1013">
        <v>542.01000999999997</v>
      </c>
      <c r="G1013">
        <v>553.28997800000002</v>
      </c>
      <c r="H1013">
        <v>553.28997800000002</v>
      </c>
      <c r="I1013">
        <f t="shared" si="62"/>
        <v>-1.0500489999999445</v>
      </c>
      <c r="J1013">
        <v>5711800</v>
      </c>
      <c r="K1013">
        <v>-0.11612903225806399</v>
      </c>
      <c r="L1013">
        <v>-54</v>
      </c>
      <c r="M1013">
        <f t="shared" si="63"/>
        <v>-1.8942326890638633E-3</v>
      </c>
      <c r="N1013">
        <v>465</v>
      </c>
    </row>
    <row r="1014" spans="1:14" x14ac:dyDescent="0.25">
      <c r="A1014" s="1">
        <v>44568</v>
      </c>
      <c r="B1014" s="1">
        <f t="shared" si="60"/>
        <v>2022</v>
      </c>
      <c r="C1014" s="1" t="str">
        <f t="shared" si="61"/>
        <v>Jan</v>
      </c>
      <c r="D1014">
        <v>549.46002199999998</v>
      </c>
      <c r="E1014">
        <v>553.42999299999997</v>
      </c>
      <c r="F1014">
        <v>538.21997099999999</v>
      </c>
      <c r="G1014">
        <v>541.05999799999995</v>
      </c>
      <c r="H1014">
        <v>541.05999799999995</v>
      </c>
      <c r="I1014">
        <f t="shared" si="62"/>
        <v>-8.4000240000000304</v>
      </c>
      <c r="J1014">
        <v>3382900</v>
      </c>
      <c r="K1014">
        <v>-8.3870967741935407E-2</v>
      </c>
      <c r="L1014">
        <v>-26</v>
      </c>
      <c r="M1014">
        <f t="shared" si="63"/>
        <v>-1.528778011805931E-2</v>
      </c>
      <c r="N1014">
        <v>310</v>
      </c>
    </row>
    <row r="1015" spans="1:14" x14ac:dyDescent="0.25">
      <c r="A1015" s="1">
        <v>44571</v>
      </c>
      <c r="B1015" s="1">
        <f t="shared" si="60"/>
        <v>2022</v>
      </c>
      <c r="C1015" s="1" t="str">
        <f t="shared" si="61"/>
        <v>Jan</v>
      </c>
      <c r="D1015">
        <v>538.48999000000003</v>
      </c>
      <c r="E1015">
        <v>543.69000200000005</v>
      </c>
      <c r="F1015">
        <v>526.32000700000003</v>
      </c>
      <c r="G1015">
        <v>539.84997599999997</v>
      </c>
      <c r="H1015">
        <v>539.84997599999997</v>
      </c>
      <c r="I1015">
        <f t="shared" si="62"/>
        <v>1.3599859999999353</v>
      </c>
      <c r="J1015">
        <v>4486100</v>
      </c>
      <c r="K1015">
        <v>-0.116279069767441</v>
      </c>
      <c r="L1015">
        <v>-30</v>
      </c>
      <c r="M1015">
        <f t="shared" si="63"/>
        <v>2.5255548390044078E-3</v>
      </c>
      <c r="N1015">
        <v>258</v>
      </c>
    </row>
    <row r="1016" spans="1:14" x14ac:dyDescent="0.25">
      <c r="A1016" s="1">
        <v>44572</v>
      </c>
      <c r="B1016" s="1">
        <f t="shared" si="60"/>
        <v>2022</v>
      </c>
      <c r="C1016" s="1" t="str">
        <f t="shared" si="61"/>
        <v>Jan</v>
      </c>
      <c r="D1016">
        <v>536.98999000000003</v>
      </c>
      <c r="E1016">
        <v>543.90997300000004</v>
      </c>
      <c r="F1016">
        <v>530.07000700000003</v>
      </c>
      <c r="G1016">
        <v>540.84002699999996</v>
      </c>
      <c r="H1016">
        <v>540.84002699999996</v>
      </c>
      <c r="I1016">
        <f t="shared" si="62"/>
        <v>3.8500369999999293</v>
      </c>
      <c r="J1016">
        <v>3077800</v>
      </c>
      <c r="K1016">
        <v>-7.5601374570446703E-2</v>
      </c>
      <c r="L1016">
        <v>-22</v>
      </c>
      <c r="M1016">
        <f t="shared" si="63"/>
        <v>7.169662510841085E-3</v>
      </c>
      <c r="N1016">
        <v>291</v>
      </c>
    </row>
    <row r="1017" spans="1:14" x14ac:dyDescent="0.25">
      <c r="A1017" s="1">
        <v>44573</v>
      </c>
      <c r="B1017" s="1">
        <f t="shared" si="60"/>
        <v>2022</v>
      </c>
      <c r="C1017" s="1" t="str">
        <f t="shared" si="61"/>
        <v>Jan</v>
      </c>
      <c r="D1017">
        <v>544.27002000000005</v>
      </c>
      <c r="E1017">
        <v>544.27002000000005</v>
      </c>
      <c r="F1017">
        <v>532.02002000000005</v>
      </c>
      <c r="G1017">
        <v>537.21997099999999</v>
      </c>
      <c r="H1017">
        <v>537.21997099999999</v>
      </c>
      <c r="I1017">
        <f t="shared" si="62"/>
        <v>-7.0500490000000582</v>
      </c>
      <c r="J1017">
        <v>3787400</v>
      </c>
      <c r="K1017">
        <v>-9.4462540716612295E-2</v>
      </c>
      <c r="L1017">
        <v>-29</v>
      </c>
      <c r="M1017">
        <f t="shared" si="63"/>
        <v>-1.295321943325127E-2</v>
      </c>
      <c r="N1017">
        <v>307</v>
      </c>
    </row>
    <row r="1018" spans="1:14" x14ac:dyDescent="0.25">
      <c r="A1018" s="1">
        <v>44574</v>
      </c>
      <c r="B1018" s="1">
        <f t="shared" si="60"/>
        <v>2022</v>
      </c>
      <c r="C1018" s="1" t="str">
        <f t="shared" si="61"/>
        <v>Jan</v>
      </c>
      <c r="D1018">
        <v>537.05999799999995</v>
      </c>
      <c r="E1018">
        <v>540.78997800000002</v>
      </c>
      <c r="F1018">
        <v>518.26000999999997</v>
      </c>
      <c r="G1018">
        <v>519.20001200000002</v>
      </c>
      <c r="H1018">
        <v>519.20001200000002</v>
      </c>
      <c r="I1018">
        <f t="shared" si="62"/>
        <v>-17.859985999999935</v>
      </c>
      <c r="J1018">
        <v>4475100</v>
      </c>
      <c r="K1018">
        <v>-0.127020785219399</v>
      </c>
      <c r="L1018">
        <v>-55</v>
      </c>
      <c r="M1018">
        <f t="shared" si="63"/>
        <v>-3.3255103836647947E-2</v>
      </c>
      <c r="N1018">
        <v>433</v>
      </c>
    </row>
    <row r="1019" spans="1:14" x14ac:dyDescent="0.25">
      <c r="A1019" s="1">
        <v>44575</v>
      </c>
      <c r="B1019" s="1">
        <f t="shared" si="60"/>
        <v>2022</v>
      </c>
      <c r="C1019" s="1" t="str">
        <f t="shared" si="61"/>
        <v>Jan</v>
      </c>
      <c r="D1019">
        <v>517.59997599999997</v>
      </c>
      <c r="E1019">
        <v>538.36999500000002</v>
      </c>
      <c r="F1019">
        <v>511.88000499999998</v>
      </c>
      <c r="G1019">
        <v>525.69000200000005</v>
      </c>
      <c r="H1019">
        <v>525.69000200000005</v>
      </c>
      <c r="I1019">
        <f t="shared" si="62"/>
        <v>8.0900260000000799</v>
      </c>
      <c r="J1019">
        <v>7861100</v>
      </c>
      <c r="K1019">
        <v>-6.1617458279845903E-2</v>
      </c>
      <c r="L1019">
        <v>-48</v>
      </c>
      <c r="M1019">
        <f t="shared" si="63"/>
        <v>1.5629880941107462E-2</v>
      </c>
      <c r="N1019">
        <v>779</v>
      </c>
    </row>
    <row r="1020" spans="1:14" x14ac:dyDescent="0.25">
      <c r="A1020" s="1">
        <v>44579</v>
      </c>
      <c r="B1020" s="1">
        <f t="shared" si="60"/>
        <v>2022</v>
      </c>
      <c r="C1020" s="1" t="str">
        <f t="shared" si="61"/>
        <v>Jan</v>
      </c>
      <c r="D1020">
        <v>520.080017</v>
      </c>
      <c r="E1020">
        <v>521.75</v>
      </c>
      <c r="F1020">
        <v>508.67999300000002</v>
      </c>
      <c r="G1020">
        <v>510.79998799999998</v>
      </c>
      <c r="H1020">
        <v>510.79998799999998</v>
      </c>
      <c r="I1020">
        <f t="shared" si="62"/>
        <v>-9.2800290000000132</v>
      </c>
      <c r="J1020">
        <v>4839100</v>
      </c>
      <c r="K1020">
        <v>-9.9540581929555894E-2</v>
      </c>
      <c r="L1020">
        <v>-65</v>
      </c>
      <c r="M1020">
        <f t="shared" si="63"/>
        <v>-1.7843463883750823E-2</v>
      </c>
      <c r="N1020">
        <v>653</v>
      </c>
    </row>
    <row r="1021" spans="1:14" x14ac:dyDescent="0.25">
      <c r="A1021" s="1">
        <v>44580</v>
      </c>
      <c r="B1021" s="1">
        <f t="shared" si="60"/>
        <v>2022</v>
      </c>
      <c r="C1021" s="1" t="str">
        <f t="shared" si="61"/>
        <v>Jan</v>
      </c>
      <c r="D1021">
        <v>515</v>
      </c>
      <c r="E1021">
        <v>523.21002199999998</v>
      </c>
      <c r="F1021">
        <v>510.51001000000002</v>
      </c>
      <c r="G1021">
        <v>515.85998500000005</v>
      </c>
      <c r="H1021">
        <v>515.85998500000005</v>
      </c>
      <c r="I1021">
        <f t="shared" si="62"/>
        <v>0.85998500000005151</v>
      </c>
      <c r="J1021">
        <v>4353500</v>
      </c>
      <c r="K1021">
        <v>-8.0614203454894395E-2</v>
      </c>
      <c r="L1021">
        <v>-42</v>
      </c>
      <c r="M1021">
        <f t="shared" si="63"/>
        <v>1.6698737864078671E-3</v>
      </c>
      <c r="N1021">
        <v>521</v>
      </c>
    </row>
    <row r="1022" spans="1:14" x14ac:dyDescent="0.25">
      <c r="A1022" s="1">
        <v>44581</v>
      </c>
      <c r="B1022" s="1">
        <f t="shared" si="60"/>
        <v>2022</v>
      </c>
      <c r="C1022" s="1" t="str">
        <f t="shared" si="61"/>
        <v>Jan</v>
      </c>
      <c r="D1022">
        <v>517.75</v>
      </c>
      <c r="E1022">
        <v>526.64001499999995</v>
      </c>
      <c r="F1022">
        <v>506.92999300000002</v>
      </c>
      <c r="G1022">
        <v>508.25</v>
      </c>
      <c r="H1022">
        <v>508.25</v>
      </c>
      <c r="I1022">
        <f t="shared" si="62"/>
        <v>-9.5</v>
      </c>
      <c r="J1022">
        <v>12659000</v>
      </c>
      <c r="K1022">
        <v>-0.20318441064638701</v>
      </c>
      <c r="L1022">
        <v>-855</v>
      </c>
      <c r="M1022">
        <f t="shared" si="63"/>
        <v>-1.834862385321101E-2</v>
      </c>
      <c r="N1022">
        <v>4208</v>
      </c>
    </row>
    <row r="1023" spans="1:14" x14ac:dyDescent="0.25">
      <c r="A1023" s="1">
        <v>44582</v>
      </c>
      <c r="B1023" s="1">
        <f t="shared" si="60"/>
        <v>2022</v>
      </c>
      <c r="C1023" s="1" t="str">
        <f t="shared" si="61"/>
        <v>Jan</v>
      </c>
      <c r="D1023">
        <v>400.42999300000002</v>
      </c>
      <c r="E1023">
        <v>409.14999399999999</v>
      </c>
      <c r="F1023">
        <v>379.98998999999998</v>
      </c>
      <c r="G1023">
        <v>397.5</v>
      </c>
      <c r="H1023">
        <v>397.5</v>
      </c>
      <c r="I1023">
        <f t="shared" si="62"/>
        <v>-2.9299930000000245</v>
      </c>
      <c r="J1023">
        <v>58904300</v>
      </c>
      <c r="K1023">
        <v>-0.18461822205828099</v>
      </c>
      <c r="L1023">
        <v>-1001</v>
      </c>
      <c r="M1023">
        <f t="shared" si="63"/>
        <v>-7.3171167275674683E-3</v>
      </c>
      <c r="N1023">
        <v>5422</v>
      </c>
    </row>
    <row r="1024" spans="1:14" x14ac:dyDescent="0.25">
      <c r="A1024" s="1">
        <v>44585</v>
      </c>
      <c r="B1024" s="1">
        <f t="shared" si="60"/>
        <v>2022</v>
      </c>
      <c r="C1024" s="1" t="str">
        <f t="shared" si="61"/>
        <v>Jan</v>
      </c>
      <c r="D1024">
        <v>383.91000400000001</v>
      </c>
      <c r="E1024">
        <v>387.26001000000002</v>
      </c>
      <c r="F1024">
        <v>351.459991</v>
      </c>
      <c r="G1024">
        <v>387.14999399999999</v>
      </c>
      <c r="H1024">
        <v>387.14999399999999</v>
      </c>
      <c r="I1024">
        <f t="shared" si="62"/>
        <v>3.2399899999999775</v>
      </c>
      <c r="J1024">
        <v>32346000</v>
      </c>
      <c r="K1024">
        <v>-0.15523465703971101</v>
      </c>
      <c r="L1024">
        <v>-215</v>
      </c>
      <c r="M1024">
        <f t="shared" si="63"/>
        <v>8.4394518669536345E-3</v>
      </c>
      <c r="N1024">
        <v>1385</v>
      </c>
    </row>
    <row r="1025" spans="1:14" x14ac:dyDescent="0.25">
      <c r="A1025" s="1">
        <v>44586</v>
      </c>
      <c r="B1025" s="1">
        <f t="shared" si="60"/>
        <v>2022</v>
      </c>
      <c r="C1025" s="1" t="str">
        <f t="shared" si="61"/>
        <v>Jan</v>
      </c>
      <c r="D1025">
        <v>379.14001500000001</v>
      </c>
      <c r="E1025">
        <v>387.709991</v>
      </c>
      <c r="F1025">
        <v>365.13000499999998</v>
      </c>
      <c r="G1025">
        <v>366.42001299999998</v>
      </c>
      <c r="H1025">
        <v>366.42001299999998</v>
      </c>
      <c r="I1025">
        <f t="shared" si="62"/>
        <v>-12.720002000000022</v>
      </c>
      <c r="J1025">
        <v>15145800</v>
      </c>
      <c r="K1025">
        <v>-0.17225950782997701</v>
      </c>
      <c r="L1025">
        <v>-154</v>
      </c>
      <c r="M1025">
        <f t="shared" si="63"/>
        <v>-3.3549616228189527E-2</v>
      </c>
      <c r="N1025">
        <v>894</v>
      </c>
    </row>
    <row r="1026" spans="1:14" x14ac:dyDescent="0.25">
      <c r="A1026" s="1">
        <v>44587</v>
      </c>
      <c r="B1026" s="1">
        <f t="shared" ref="B1026:B1089" si="64">YEAR(A1026)</f>
        <v>2022</v>
      </c>
      <c r="C1026" s="1" t="str">
        <f t="shared" ref="C1026:C1089" si="65">TEXT(A1026,"mmm")</f>
        <v>Jan</v>
      </c>
      <c r="D1026">
        <v>378.26998900000001</v>
      </c>
      <c r="E1026">
        <v>382.66000400000001</v>
      </c>
      <c r="F1026">
        <v>356.61999500000002</v>
      </c>
      <c r="G1026">
        <v>359.70001200000002</v>
      </c>
      <c r="H1026">
        <v>359.70001200000002</v>
      </c>
      <c r="I1026">
        <f t="shared" ref="I1026:I1089" si="66">G1026-D1026</f>
        <v>-18.569976999999994</v>
      </c>
      <c r="J1026">
        <v>12684000</v>
      </c>
      <c r="K1026">
        <v>-0.11915367483296201</v>
      </c>
      <c r="L1026">
        <v>-107</v>
      </c>
      <c r="M1026">
        <f t="shared" ref="M1026:M1089" si="67">(G1026-D1026)/D1026</f>
        <v>-4.909185909538278E-2</v>
      </c>
      <c r="N1026">
        <v>898</v>
      </c>
    </row>
    <row r="1027" spans="1:14" x14ac:dyDescent="0.25">
      <c r="A1027" s="1">
        <v>44588</v>
      </c>
      <c r="B1027" s="1">
        <f t="shared" si="64"/>
        <v>2022</v>
      </c>
      <c r="C1027" s="1" t="str">
        <f t="shared" si="65"/>
        <v>Jan</v>
      </c>
      <c r="D1027">
        <v>382.05999800000001</v>
      </c>
      <c r="E1027">
        <v>394.79998799999998</v>
      </c>
      <c r="F1027">
        <v>378.10000600000001</v>
      </c>
      <c r="G1027">
        <v>386.70001200000002</v>
      </c>
      <c r="H1027">
        <v>386.70001200000002</v>
      </c>
      <c r="I1027">
        <f t="shared" si="66"/>
        <v>4.6400140000000079</v>
      </c>
      <c r="J1027">
        <v>24324700</v>
      </c>
      <c r="K1027">
        <v>-8.10968494749124E-2</v>
      </c>
      <c r="L1027">
        <v>-139</v>
      </c>
      <c r="M1027">
        <f t="shared" si="67"/>
        <v>1.21447260228484E-2</v>
      </c>
      <c r="N1027">
        <v>1714</v>
      </c>
    </row>
    <row r="1028" spans="1:14" x14ac:dyDescent="0.25">
      <c r="A1028" s="1">
        <v>44589</v>
      </c>
      <c r="B1028" s="1">
        <f t="shared" si="64"/>
        <v>2022</v>
      </c>
      <c r="C1028" s="1" t="str">
        <f t="shared" si="65"/>
        <v>Jan</v>
      </c>
      <c r="D1028">
        <v>386.76001000000002</v>
      </c>
      <c r="E1028">
        <v>387</v>
      </c>
      <c r="F1028">
        <v>372.07998700000002</v>
      </c>
      <c r="G1028">
        <v>384.35998499999999</v>
      </c>
      <c r="H1028">
        <v>384.35998499999999</v>
      </c>
      <c r="I1028">
        <f t="shared" si="66"/>
        <v>-2.4000250000000278</v>
      </c>
      <c r="J1028">
        <v>11966600</v>
      </c>
      <c r="K1028">
        <v>-5.7106598984771502E-2</v>
      </c>
      <c r="L1028">
        <v>-45</v>
      </c>
      <c r="M1028">
        <f t="shared" si="67"/>
        <v>-6.2054631759887163E-3</v>
      </c>
      <c r="N1028">
        <v>788</v>
      </c>
    </row>
    <row r="1029" spans="1:14" x14ac:dyDescent="0.25">
      <c r="A1029" s="1">
        <v>44592</v>
      </c>
      <c r="B1029" s="1">
        <f t="shared" si="64"/>
        <v>2022</v>
      </c>
      <c r="C1029" s="1" t="str">
        <f t="shared" si="65"/>
        <v>Jan</v>
      </c>
      <c r="D1029">
        <v>401.97000100000002</v>
      </c>
      <c r="E1029">
        <v>427.70001200000002</v>
      </c>
      <c r="F1029">
        <v>398.20001200000002</v>
      </c>
      <c r="G1029">
        <v>427.14001500000001</v>
      </c>
      <c r="H1029">
        <v>427.14001500000001</v>
      </c>
      <c r="I1029">
        <f t="shared" si="66"/>
        <v>25.170013999999981</v>
      </c>
      <c r="J1029">
        <v>20047500</v>
      </c>
      <c r="K1029">
        <v>-3.07570977917981E-2</v>
      </c>
      <c r="L1029">
        <v>-39</v>
      </c>
      <c r="M1029">
        <f t="shared" si="67"/>
        <v>6.2616647852783369E-2</v>
      </c>
      <c r="N1029">
        <v>1268</v>
      </c>
    </row>
    <row r="1030" spans="1:14" x14ac:dyDescent="0.25">
      <c r="A1030" s="1">
        <v>44593</v>
      </c>
      <c r="B1030" s="1">
        <f t="shared" si="64"/>
        <v>2022</v>
      </c>
      <c r="C1030" s="1" t="str">
        <f t="shared" si="65"/>
        <v>Feb</v>
      </c>
      <c r="D1030">
        <v>432.959991</v>
      </c>
      <c r="E1030">
        <v>458.48001099999999</v>
      </c>
      <c r="F1030">
        <v>425.540009</v>
      </c>
      <c r="G1030">
        <v>457.13000499999998</v>
      </c>
      <c r="H1030">
        <v>457.13000499999998</v>
      </c>
      <c r="I1030">
        <f t="shared" si="66"/>
        <v>24.170013999999981</v>
      </c>
      <c r="J1030">
        <v>22568100</v>
      </c>
      <c r="K1030">
        <v>-5.6285178236397003E-3</v>
      </c>
      <c r="L1030">
        <v>-6</v>
      </c>
      <c r="M1030">
        <f t="shared" si="67"/>
        <v>5.5825051973451237E-2</v>
      </c>
      <c r="N1030">
        <v>1066</v>
      </c>
    </row>
    <row r="1031" spans="1:14" x14ac:dyDescent="0.25">
      <c r="A1031" s="1">
        <v>44594</v>
      </c>
      <c r="B1031" s="1">
        <f t="shared" si="64"/>
        <v>2022</v>
      </c>
      <c r="C1031" s="1" t="str">
        <f t="shared" si="65"/>
        <v>Feb</v>
      </c>
      <c r="D1031">
        <v>448.25</v>
      </c>
      <c r="E1031">
        <v>451.98001099999999</v>
      </c>
      <c r="F1031">
        <v>426.48001099999999</v>
      </c>
      <c r="G1031">
        <v>429.48001099999999</v>
      </c>
      <c r="H1031">
        <v>429.48001099999999</v>
      </c>
      <c r="I1031">
        <f t="shared" si="66"/>
        <v>-18.76998900000001</v>
      </c>
      <c r="J1031">
        <v>14346000</v>
      </c>
      <c r="K1031">
        <v>-0.12396694214876</v>
      </c>
      <c r="L1031">
        <v>-120</v>
      </c>
      <c r="M1031">
        <f t="shared" si="67"/>
        <v>-4.1873929726715026E-2</v>
      </c>
      <c r="N1031">
        <v>968</v>
      </c>
    </row>
    <row r="1032" spans="1:14" x14ac:dyDescent="0.25">
      <c r="A1032" s="1">
        <v>44595</v>
      </c>
      <c r="B1032" s="1">
        <f t="shared" si="64"/>
        <v>2022</v>
      </c>
      <c r="C1032" s="1" t="str">
        <f t="shared" si="65"/>
        <v>Feb</v>
      </c>
      <c r="D1032">
        <v>421.44000199999999</v>
      </c>
      <c r="E1032">
        <v>429.26001000000002</v>
      </c>
      <c r="F1032">
        <v>404.27999899999998</v>
      </c>
      <c r="G1032">
        <v>405.60000600000001</v>
      </c>
      <c r="H1032">
        <v>405.60000600000001</v>
      </c>
      <c r="I1032">
        <f t="shared" si="66"/>
        <v>-15.839995999999985</v>
      </c>
      <c r="J1032">
        <v>9905200</v>
      </c>
      <c r="K1032">
        <v>-0.15529905561385099</v>
      </c>
      <c r="L1032">
        <v>-148</v>
      </c>
      <c r="M1032">
        <f t="shared" si="67"/>
        <v>-3.7585411742666004E-2</v>
      </c>
      <c r="N1032">
        <v>953</v>
      </c>
    </row>
    <row r="1033" spans="1:14" x14ac:dyDescent="0.25">
      <c r="A1033" s="1">
        <v>44596</v>
      </c>
      <c r="B1033" s="1">
        <f t="shared" si="64"/>
        <v>2022</v>
      </c>
      <c r="C1033" s="1" t="str">
        <f t="shared" si="65"/>
        <v>Feb</v>
      </c>
      <c r="D1033">
        <v>407.30999800000001</v>
      </c>
      <c r="E1033">
        <v>412.76998900000001</v>
      </c>
      <c r="F1033">
        <v>396.64001500000001</v>
      </c>
      <c r="G1033">
        <v>410.17001299999998</v>
      </c>
      <c r="H1033">
        <v>410.17001299999998</v>
      </c>
      <c r="I1033">
        <f t="shared" si="66"/>
        <v>2.8600149999999758</v>
      </c>
      <c r="J1033">
        <v>7789800</v>
      </c>
      <c r="K1033">
        <v>-0.150877192982456</v>
      </c>
      <c r="L1033">
        <v>-86</v>
      </c>
      <c r="M1033">
        <f t="shared" si="67"/>
        <v>7.0217156810375566E-3</v>
      </c>
      <c r="N1033">
        <v>570</v>
      </c>
    </row>
    <row r="1034" spans="1:14" x14ac:dyDescent="0.25">
      <c r="A1034" s="1">
        <v>44599</v>
      </c>
      <c r="B1034" s="1">
        <f t="shared" si="64"/>
        <v>2022</v>
      </c>
      <c r="C1034" s="1" t="str">
        <f t="shared" si="65"/>
        <v>Feb</v>
      </c>
      <c r="D1034">
        <v>410.17001299999998</v>
      </c>
      <c r="E1034">
        <v>412.35000600000001</v>
      </c>
      <c r="F1034">
        <v>393.54998799999998</v>
      </c>
      <c r="G1034">
        <v>402.10000600000001</v>
      </c>
      <c r="H1034">
        <v>402.10000600000001</v>
      </c>
      <c r="I1034">
        <f t="shared" si="66"/>
        <v>-8.0700069999999755</v>
      </c>
      <c r="J1034">
        <v>8232900</v>
      </c>
      <c r="K1034">
        <v>-0.125748502994011</v>
      </c>
      <c r="L1034">
        <v>-63</v>
      </c>
      <c r="M1034">
        <f t="shared" si="67"/>
        <v>-1.9674785440738633E-2</v>
      </c>
      <c r="N1034">
        <v>501</v>
      </c>
    </row>
    <row r="1035" spans="1:14" x14ac:dyDescent="0.25">
      <c r="A1035" s="1">
        <v>44600</v>
      </c>
      <c r="B1035" s="1">
        <f t="shared" si="64"/>
        <v>2022</v>
      </c>
      <c r="C1035" s="1" t="str">
        <f t="shared" si="65"/>
        <v>Feb</v>
      </c>
      <c r="D1035">
        <v>398.17999300000002</v>
      </c>
      <c r="E1035">
        <v>406.60998499999999</v>
      </c>
      <c r="F1035">
        <v>395.82998700000002</v>
      </c>
      <c r="G1035">
        <v>403.52999899999998</v>
      </c>
      <c r="H1035">
        <v>403.52999899999998</v>
      </c>
      <c r="I1035">
        <f t="shared" si="66"/>
        <v>5.3500059999999507</v>
      </c>
      <c r="J1035">
        <v>6818500</v>
      </c>
      <c r="K1035">
        <v>-9.9796334012219906E-2</v>
      </c>
      <c r="L1035">
        <v>-49</v>
      </c>
      <c r="M1035">
        <f t="shared" si="67"/>
        <v>1.3436149716341852E-2</v>
      </c>
      <c r="N1035">
        <v>491</v>
      </c>
    </row>
    <row r="1036" spans="1:14" x14ac:dyDescent="0.25">
      <c r="A1036" s="1">
        <v>44601</v>
      </c>
      <c r="B1036" s="1">
        <f t="shared" si="64"/>
        <v>2022</v>
      </c>
      <c r="C1036" s="1" t="str">
        <f t="shared" si="65"/>
        <v>Feb</v>
      </c>
      <c r="D1036">
        <v>408.64999399999999</v>
      </c>
      <c r="E1036">
        <v>412.98001099999999</v>
      </c>
      <c r="F1036">
        <v>398.790009</v>
      </c>
      <c r="G1036">
        <v>412.89001500000001</v>
      </c>
      <c r="H1036">
        <v>412.89001500000001</v>
      </c>
      <c r="I1036">
        <f t="shared" si="66"/>
        <v>4.2400210000000129</v>
      </c>
      <c r="J1036">
        <v>7738200</v>
      </c>
      <c r="K1036">
        <v>-6.7685589519650605E-2</v>
      </c>
      <c r="L1036">
        <v>-31</v>
      </c>
      <c r="M1036">
        <f t="shared" si="67"/>
        <v>1.0375678605785109E-2</v>
      </c>
      <c r="N1036">
        <v>458</v>
      </c>
    </row>
    <row r="1037" spans="1:14" x14ac:dyDescent="0.25">
      <c r="A1037" s="1">
        <v>44602</v>
      </c>
      <c r="B1037" s="1">
        <f t="shared" si="64"/>
        <v>2022</v>
      </c>
      <c r="C1037" s="1" t="str">
        <f t="shared" si="65"/>
        <v>Feb</v>
      </c>
      <c r="D1037">
        <v>402.10000600000001</v>
      </c>
      <c r="E1037">
        <v>408</v>
      </c>
      <c r="F1037">
        <v>396.35998499999999</v>
      </c>
      <c r="G1037">
        <v>406.26998900000001</v>
      </c>
      <c r="H1037">
        <v>406.26998900000001</v>
      </c>
      <c r="I1037">
        <f t="shared" si="66"/>
        <v>4.169983000000002</v>
      </c>
      <c r="J1037">
        <v>8452900</v>
      </c>
      <c r="K1037">
        <v>-7.6212471131639703E-2</v>
      </c>
      <c r="L1037">
        <v>-33</v>
      </c>
      <c r="M1037">
        <f t="shared" si="67"/>
        <v>1.0370512155625289E-2</v>
      </c>
      <c r="N1037">
        <v>433</v>
      </c>
    </row>
    <row r="1038" spans="1:14" x14ac:dyDescent="0.25">
      <c r="A1038" s="1">
        <v>44603</v>
      </c>
      <c r="B1038" s="1">
        <f t="shared" si="64"/>
        <v>2022</v>
      </c>
      <c r="C1038" s="1" t="str">
        <f t="shared" si="65"/>
        <v>Feb</v>
      </c>
      <c r="D1038">
        <v>405.32998700000002</v>
      </c>
      <c r="E1038">
        <v>411.60998499999999</v>
      </c>
      <c r="F1038">
        <v>387.64999399999999</v>
      </c>
      <c r="G1038">
        <v>391.30999800000001</v>
      </c>
      <c r="H1038">
        <v>391.30999800000001</v>
      </c>
      <c r="I1038">
        <f t="shared" si="66"/>
        <v>-14.01998900000001</v>
      </c>
      <c r="J1038">
        <v>7558900</v>
      </c>
      <c r="K1038">
        <v>-0.14141414141414099</v>
      </c>
      <c r="L1038">
        <v>-56</v>
      </c>
      <c r="M1038">
        <f t="shared" si="67"/>
        <v>-3.4589074210292781E-2</v>
      </c>
      <c r="N1038">
        <v>396</v>
      </c>
    </row>
    <row r="1039" spans="1:14" x14ac:dyDescent="0.25">
      <c r="A1039" s="1">
        <v>44606</v>
      </c>
      <c r="B1039" s="1">
        <f t="shared" si="64"/>
        <v>2022</v>
      </c>
      <c r="C1039" s="1" t="str">
        <f t="shared" si="65"/>
        <v>Feb</v>
      </c>
      <c r="D1039">
        <v>387.58999599999999</v>
      </c>
      <c r="E1039">
        <v>409.35998499999999</v>
      </c>
      <c r="F1039">
        <v>386.89001500000001</v>
      </c>
      <c r="G1039">
        <v>396.57000699999998</v>
      </c>
      <c r="H1039">
        <v>396.57000699999998</v>
      </c>
      <c r="I1039">
        <f t="shared" si="66"/>
        <v>8.9800109999999904</v>
      </c>
      <c r="J1039">
        <v>7202200</v>
      </c>
      <c r="K1039">
        <v>-6.0941828254847598E-2</v>
      </c>
      <c r="L1039">
        <v>-22</v>
      </c>
      <c r="M1039">
        <f t="shared" si="67"/>
        <v>2.3168841024472652E-2</v>
      </c>
      <c r="N1039">
        <v>361</v>
      </c>
    </row>
    <row r="1040" spans="1:14" x14ac:dyDescent="0.25">
      <c r="A1040" s="1">
        <v>44607</v>
      </c>
      <c r="B1040" s="1">
        <f t="shared" si="64"/>
        <v>2022</v>
      </c>
      <c r="C1040" s="1" t="str">
        <f t="shared" si="65"/>
        <v>Feb</v>
      </c>
      <c r="D1040">
        <v>403.790009</v>
      </c>
      <c r="E1040">
        <v>409.16000400000001</v>
      </c>
      <c r="F1040">
        <v>401.01001000000002</v>
      </c>
      <c r="G1040">
        <v>407.459991</v>
      </c>
      <c r="H1040">
        <v>407.459991</v>
      </c>
      <c r="I1040">
        <f t="shared" si="66"/>
        <v>3.6699820000000045</v>
      </c>
      <c r="J1040">
        <v>5392300</v>
      </c>
      <c r="K1040">
        <v>-7.8078078078077998E-2</v>
      </c>
      <c r="L1040">
        <v>-26</v>
      </c>
      <c r="M1040">
        <f t="shared" si="67"/>
        <v>9.0888380549306869E-3</v>
      </c>
      <c r="N1040">
        <v>333</v>
      </c>
    </row>
    <row r="1041" spans="1:14" x14ac:dyDescent="0.25">
      <c r="A1041" s="1">
        <v>44608</v>
      </c>
      <c r="B1041" s="1">
        <f t="shared" si="64"/>
        <v>2022</v>
      </c>
      <c r="C1041" s="1" t="str">
        <f t="shared" si="65"/>
        <v>Feb</v>
      </c>
      <c r="D1041">
        <v>401.52999899999998</v>
      </c>
      <c r="E1041">
        <v>401.55999800000001</v>
      </c>
      <c r="F1041">
        <v>390.38000499999998</v>
      </c>
      <c r="G1041">
        <v>398.07998700000002</v>
      </c>
      <c r="H1041">
        <v>398.07998700000002</v>
      </c>
      <c r="I1041">
        <f t="shared" si="66"/>
        <v>-3.4500119999999583</v>
      </c>
      <c r="J1041">
        <v>5277700</v>
      </c>
      <c r="K1041">
        <v>-0.16831683168316799</v>
      </c>
      <c r="L1041">
        <v>-68</v>
      </c>
      <c r="M1041">
        <f t="shared" si="67"/>
        <v>-8.5921649903920594E-3</v>
      </c>
      <c r="N1041">
        <v>404</v>
      </c>
    </row>
    <row r="1042" spans="1:14" x14ac:dyDescent="0.25">
      <c r="A1042" s="1">
        <v>44609</v>
      </c>
      <c r="B1042" s="1">
        <f t="shared" si="64"/>
        <v>2022</v>
      </c>
      <c r="C1042" s="1" t="str">
        <f t="shared" si="65"/>
        <v>Feb</v>
      </c>
      <c r="D1042">
        <v>394.23998999999998</v>
      </c>
      <c r="E1042">
        <v>399.10998499999999</v>
      </c>
      <c r="F1042">
        <v>385.70001200000002</v>
      </c>
      <c r="G1042">
        <v>386.67001299999998</v>
      </c>
      <c r="H1042">
        <v>386.67001299999998</v>
      </c>
      <c r="I1042">
        <f t="shared" si="66"/>
        <v>-7.5699769999999944</v>
      </c>
      <c r="J1042">
        <v>4669200</v>
      </c>
      <c r="K1042">
        <v>-0.22159090909090901</v>
      </c>
      <c r="L1042">
        <v>-78</v>
      </c>
      <c r="M1042">
        <f t="shared" si="67"/>
        <v>-1.9201443770328817E-2</v>
      </c>
      <c r="N1042">
        <v>352</v>
      </c>
    </row>
    <row r="1043" spans="1:14" x14ac:dyDescent="0.25">
      <c r="A1043" s="1">
        <v>44610</v>
      </c>
      <c r="B1043" s="1">
        <f t="shared" si="64"/>
        <v>2022</v>
      </c>
      <c r="C1043" s="1" t="str">
        <f t="shared" si="65"/>
        <v>Feb</v>
      </c>
      <c r="D1043">
        <v>392.52999899999998</v>
      </c>
      <c r="E1043">
        <v>402.86999500000002</v>
      </c>
      <c r="F1043">
        <v>389.04998799999998</v>
      </c>
      <c r="G1043">
        <v>391.290009</v>
      </c>
      <c r="H1043">
        <v>391.290009</v>
      </c>
      <c r="I1043">
        <f t="shared" si="66"/>
        <v>-1.2399899999999775</v>
      </c>
      <c r="J1043">
        <v>6801700</v>
      </c>
      <c r="K1043">
        <v>-9.3439363817097401E-2</v>
      </c>
      <c r="L1043">
        <v>-47</v>
      </c>
      <c r="M1043">
        <f t="shared" si="67"/>
        <v>-3.1589687492903635E-3</v>
      </c>
      <c r="N1043">
        <v>503</v>
      </c>
    </row>
    <row r="1044" spans="1:14" x14ac:dyDescent="0.25">
      <c r="A1044" s="1">
        <v>44614</v>
      </c>
      <c r="B1044" s="1">
        <f t="shared" si="64"/>
        <v>2022</v>
      </c>
      <c r="C1044" s="1" t="str">
        <f t="shared" si="65"/>
        <v>Feb</v>
      </c>
      <c r="D1044">
        <v>388.95001200000002</v>
      </c>
      <c r="E1044">
        <v>392.42001299999998</v>
      </c>
      <c r="F1044">
        <v>373.01998900000001</v>
      </c>
      <c r="G1044">
        <v>377.38000499999998</v>
      </c>
      <c r="H1044">
        <v>377.38000499999998</v>
      </c>
      <c r="I1044">
        <f t="shared" si="66"/>
        <v>-11.570007000000032</v>
      </c>
      <c r="J1044">
        <v>6697500</v>
      </c>
      <c r="K1044">
        <v>-0.14953271028037299</v>
      </c>
      <c r="L1044">
        <v>-48</v>
      </c>
      <c r="M1044">
        <f t="shared" si="67"/>
        <v>-2.9746771160917285E-2</v>
      </c>
      <c r="N1044">
        <v>321</v>
      </c>
    </row>
    <row r="1045" spans="1:14" x14ac:dyDescent="0.25">
      <c r="A1045" s="1">
        <v>44615</v>
      </c>
      <c r="B1045" s="1">
        <f t="shared" si="64"/>
        <v>2022</v>
      </c>
      <c r="C1045" s="1" t="str">
        <f t="shared" si="65"/>
        <v>Feb</v>
      </c>
      <c r="D1045">
        <v>382.72000100000002</v>
      </c>
      <c r="E1045">
        <v>386</v>
      </c>
      <c r="F1045">
        <v>366.66000400000001</v>
      </c>
      <c r="G1045">
        <v>367.459991</v>
      </c>
      <c r="H1045">
        <v>367.459991</v>
      </c>
      <c r="I1045">
        <f t="shared" si="66"/>
        <v>-15.260010000000023</v>
      </c>
      <c r="J1045">
        <v>4614300</v>
      </c>
      <c r="K1045">
        <v>-0.140575079872204</v>
      </c>
      <c r="L1045">
        <v>-44</v>
      </c>
      <c r="M1045">
        <f t="shared" si="67"/>
        <v>-3.9872517663376628E-2</v>
      </c>
      <c r="N1045">
        <v>313</v>
      </c>
    </row>
    <row r="1046" spans="1:14" x14ac:dyDescent="0.25">
      <c r="A1046" s="1">
        <v>44616</v>
      </c>
      <c r="B1046" s="1">
        <f t="shared" si="64"/>
        <v>2022</v>
      </c>
      <c r="C1046" s="1" t="str">
        <f t="shared" si="65"/>
        <v>Feb</v>
      </c>
      <c r="D1046">
        <v>355.08999599999999</v>
      </c>
      <c r="E1046">
        <v>390.73001099999999</v>
      </c>
      <c r="F1046">
        <v>354.72000100000002</v>
      </c>
      <c r="G1046">
        <v>390.02999899999998</v>
      </c>
      <c r="H1046">
        <v>390.02999899999998</v>
      </c>
      <c r="I1046">
        <f t="shared" si="66"/>
        <v>34.94000299999999</v>
      </c>
      <c r="J1046">
        <v>7068700</v>
      </c>
      <c r="K1046">
        <v>-0.114583333333333</v>
      </c>
      <c r="L1046">
        <v>-33</v>
      </c>
      <c r="M1046">
        <f t="shared" si="67"/>
        <v>9.8397598900533345E-2</v>
      </c>
      <c r="N1046">
        <v>288</v>
      </c>
    </row>
    <row r="1047" spans="1:14" x14ac:dyDescent="0.25">
      <c r="A1047" s="1">
        <v>44617</v>
      </c>
      <c r="B1047" s="1">
        <f t="shared" si="64"/>
        <v>2022</v>
      </c>
      <c r="C1047" s="1" t="str">
        <f t="shared" si="65"/>
        <v>Feb</v>
      </c>
      <c r="D1047">
        <v>386.60998499999999</v>
      </c>
      <c r="E1047">
        <v>391.290009</v>
      </c>
      <c r="F1047">
        <v>375.57998700000002</v>
      </c>
      <c r="G1047">
        <v>390.79998799999998</v>
      </c>
      <c r="H1047">
        <v>390.79998799999998</v>
      </c>
      <c r="I1047">
        <f t="shared" si="66"/>
        <v>4.1900029999999902</v>
      </c>
      <c r="J1047">
        <v>4841600</v>
      </c>
      <c r="K1047">
        <v>-0.141552511415525</v>
      </c>
      <c r="L1047">
        <v>-31</v>
      </c>
      <c r="M1047">
        <f t="shared" si="67"/>
        <v>1.0837803374374799E-2</v>
      </c>
      <c r="N1047">
        <v>219</v>
      </c>
    </row>
    <row r="1048" spans="1:14" x14ac:dyDescent="0.25">
      <c r="A1048" s="1">
        <v>44620</v>
      </c>
      <c r="B1048" s="1">
        <f t="shared" si="64"/>
        <v>2022</v>
      </c>
      <c r="C1048" s="1" t="str">
        <f t="shared" si="65"/>
        <v>Feb</v>
      </c>
      <c r="D1048">
        <v>387.32998700000002</v>
      </c>
      <c r="E1048">
        <v>397.75</v>
      </c>
      <c r="F1048">
        <v>382.13000499999998</v>
      </c>
      <c r="G1048">
        <v>394.51998900000001</v>
      </c>
      <c r="H1048">
        <v>394.51998900000001</v>
      </c>
      <c r="I1048">
        <f t="shared" si="66"/>
        <v>7.1900019999999927</v>
      </c>
      <c r="J1048">
        <v>5035000</v>
      </c>
      <c r="K1048">
        <v>-0.14576271186440601</v>
      </c>
      <c r="L1048">
        <v>-43</v>
      </c>
      <c r="M1048">
        <f t="shared" si="67"/>
        <v>1.8562988256315905E-2</v>
      </c>
      <c r="N1048">
        <v>295</v>
      </c>
    </row>
    <row r="1049" spans="1:14" x14ac:dyDescent="0.25">
      <c r="A1049" s="1">
        <v>44621</v>
      </c>
      <c r="B1049" s="1">
        <f t="shared" si="64"/>
        <v>2022</v>
      </c>
      <c r="C1049" s="1" t="str">
        <f t="shared" si="65"/>
        <v>Mar</v>
      </c>
      <c r="D1049">
        <v>391.60000600000001</v>
      </c>
      <c r="E1049">
        <v>395</v>
      </c>
      <c r="F1049">
        <v>383.709991</v>
      </c>
      <c r="G1049">
        <v>386.23998999999998</v>
      </c>
      <c r="H1049">
        <v>386.23998999999998</v>
      </c>
      <c r="I1049">
        <f t="shared" si="66"/>
        <v>-5.3600160000000301</v>
      </c>
      <c r="J1049">
        <v>3290400</v>
      </c>
      <c r="K1049">
        <v>-0.177966101694915</v>
      </c>
      <c r="L1049">
        <v>-42</v>
      </c>
      <c r="M1049">
        <f t="shared" si="67"/>
        <v>-1.3687476807648542E-2</v>
      </c>
      <c r="N1049">
        <v>236</v>
      </c>
    </row>
    <row r="1050" spans="1:14" x14ac:dyDescent="0.25">
      <c r="A1050" s="1">
        <v>44622</v>
      </c>
      <c r="B1050" s="1">
        <f t="shared" si="64"/>
        <v>2022</v>
      </c>
      <c r="C1050" s="1" t="str">
        <f t="shared" si="65"/>
        <v>Mar</v>
      </c>
      <c r="D1050">
        <v>388.92999300000002</v>
      </c>
      <c r="E1050">
        <v>389.22000100000002</v>
      </c>
      <c r="F1050">
        <v>375.209991</v>
      </c>
      <c r="G1050">
        <v>380.02999899999998</v>
      </c>
      <c r="H1050">
        <v>380.02999899999998</v>
      </c>
      <c r="I1050">
        <f t="shared" si="66"/>
        <v>-8.8999940000000493</v>
      </c>
      <c r="J1050">
        <v>5356800</v>
      </c>
      <c r="K1050">
        <v>-7.1005917159763302E-2</v>
      </c>
      <c r="L1050">
        <v>-24</v>
      </c>
      <c r="M1050">
        <f t="shared" si="67"/>
        <v>-2.2883280179423059E-2</v>
      </c>
      <c r="N1050">
        <v>338</v>
      </c>
    </row>
    <row r="1051" spans="1:14" x14ac:dyDescent="0.25">
      <c r="A1051" s="1">
        <v>44623</v>
      </c>
      <c r="B1051" s="1">
        <f t="shared" si="64"/>
        <v>2022</v>
      </c>
      <c r="C1051" s="1" t="str">
        <f t="shared" si="65"/>
        <v>Mar</v>
      </c>
      <c r="D1051">
        <v>386</v>
      </c>
      <c r="E1051">
        <v>386.11999500000002</v>
      </c>
      <c r="F1051">
        <v>364.64999399999999</v>
      </c>
      <c r="G1051">
        <v>368.07000699999998</v>
      </c>
      <c r="H1051">
        <v>368.07000699999998</v>
      </c>
      <c r="I1051">
        <f t="shared" si="66"/>
        <v>-17.929993000000024</v>
      </c>
      <c r="J1051">
        <v>6076800</v>
      </c>
      <c r="K1051">
        <v>-0.12627986348122799</v>
      </c>
      <c r="L1051">
        <v>-37</v>
      </c>
      <c r="M1051">
        <f t="shared" si="67"/>
        <v>-4.6450759067357579E-2</v>
      </c>
      <c r="N1051">
        <v>293</v>
      </c>
    </row>
    <row r="1052" spans="1:14" x14ac:dyDescent="0.25">
      <c r="A1052" s="1">
        <v>44624</v>
      </c>
      <c r="B1052" s="1">
        <f t="shared" si="64"/>
        <v>2022</v>
      </c>
      <c r="C1052" s="1" t="str">
        <f t="shared" si="65"/>
        <v>Mar</v>
      </c>
      <c r="D1052">
        <v>368</v>
      </c>
      <c r="E1052">
        <v>374.82000699999998</v>
      </c>
      <c r="F1052">
        <v>357.17001299999998</v>
      </c>
      <c r="G1052">
        <v>361.73001099999999</v>
      </c>
      <c r="H1052">
        <v>361.73001099999999</v>
      </c>
      <c r="I1052">
        <f t="shared" si="66"/>
        <v>-6.2699890000000096</v>
      </c>
      <c r="J1052">
        <v>5325500</v>
      </c>
      <c r="K1052">
        <v>-8.6757990867579904E-2</v>
      </c>
      <c r="L1052">
        <v>-19</v>
      </c>
      <c r="M1052">
        <f t="shared" si="67"/>
        <v>-1.7038013586956547E-2</v>
      </c>
      <c r="N1052">
        <v>219</v>
      </c>
    </row>
    <row r="1053" spans="1:14" x14ac:dyDescent="0.25">
      <c r="A1053" s="1">
        <v>44627</v>
      </c>
      <c r="B1053" s="1">
        <f t="shared" si="64"/>
        <v>2022</v>
      </c>
      <c r="C1053" s="1" t="str">
        <f t="shared" si="65"/>
        <v>Mar</v>
      </c>
      <c r="D1053">
        <v>360.41000400000001</v>
      </c>
      <c r="E1053">
        <v>362</v>
      </c>
      <c r="F1053">
        <v>350.20001200000002</v>
      </c>
      <c r="G1053">
        <v>350.26001000000002</v>
      </c>
      <c r="H1053">
        <v>350.26001000000002</v>
      </c>
      <c r="I1053">
        <f t="shared" si="66"/>
        <v>-10.149993999999992</v>
      </c>
      <c r="J1053">
        <v>5708400</v>
      </c>
      <c r="K1053">
        <v>-0.20294117647058799</v>
      </c>
      <c r="L1053">
        <v>-69</v>
      </c>
      <c r="M1053">
        <f t="shared" si="67"/>
        <v>-2.8162353673179371E-2</v>
      </c>
      <c r="N1053">
        <v>340</v>
      </c>
    </row>
    <row r="1054" spans="1:14" x14ac:dyDescent="0.25">
      <c r="A1054" s="1">
        <v>44628</v>
      </c>
      <c r="B1054" s="1">
        <f t="shared" si="64"/>
        <v>2022</v>
      </c>
      <c r="C1054" s="1" t="str">
        <f t="shared" si="65"/>
        <v>Mar</v>
      </c>
      <c r="D1054">
        <v>349.79998799999998</v>
      </c>
      <c r="E1054">
        <v>358.85998499999999</v>
      </c>
      <c r="F1054">
        <v>340.67001299999998</v>
      </c>
      <c r="G1054">
        <v>341.76001000000002</v>
      </c>
      <c r="H1054">
        <v>341.76001000000002</v>
      </c>
      <c r="I1054">
        <f t="shared" si="66"/>
        <v>-8.0399779999999623</v>
      </c>
      <c r="J1054">
        <v>6428700</v>
      </c>
      <c r="K1054">
        <v>-0.18266253869969001</v>
      </c>
      <c r="L1054">
        <v>-59</v>
      </c>
      <c r="M1054">
        <f t="shared" si="67"/>
        <v>-2.2984500502612831E-2</v>
      </c>
      <c r="N1054">
        <v>323</v>
      </c>
    </row>
    <row r="1055" spans="1:14" x14ac:dyDescent="0.25">
      <c r="A1055" s="1">
        <v>44629</v>
      </c>
      <c r="B1055" s="1">
        <f t="shared" si="64"/>
        <v>2022</v>
      </c>
      <c r="C1055" s="1" t="str">
        <f t="shared" si="65"/>
        <v>Mar</v>
      </c>
      <c r="D1055">
        <v>357.69000199999999</v>
      </c>
      <c r="E1055">
        <v>364.14001500000001</v>
      </c>
      <c r="F1055">
        <v>350.51001000000002</v>
      </c>
      <c r="G1055">
        <v>358.790009</v>
      </c>
      <c r="H1055">
        <v>358.790009</v>
      </c>
      <c r="I1055">
        <f t="shared" si="66"/>
        <v>1.1000070000000051</v>
      </c>
      <c r="J1055">
        <v>6520200</v>
      </c>
      <c r="K1055">
        <v>-8.8161209068010005E-2</v>
      </c>
      <c r="L1055">
        <v>-35</v>
      </c>
      <c r="M1055">
        <f t="shared" si="67"/>
        <v>3.0753082105996494E-3</v>
      </c>
      <c r="N1055">
        <v>397</v>
      </c>
    </row>
    <row r="1056" spans="1:14" x14ac:dyDescent="0.25">
      <c r="A1056" s="1">
        <v>44630</v>
      </c>
      <c r="B1056" s="1">
        <f t="shared" si="64"/>
        <v>2022</v>
      </c>
      <c r="C1056" s="1" t="str">
        <f t="shared" si="65"/>
        <v>Mar</v>
      </c>
      <c r="D1056">
        <v>356.20001200000002</v>
      </c>
      <c r="E1056">
        <v>367.01998900000001</v>
      </c>
      <c r="F1056">
        <v>353.29998799999998</v>
      </c>
      <c r="G1056">
        <v>356.76998900000001</v>
      </c>
      <c r="H1056">
        <v>356.76998900000001</v>
      </c>
      <c r="I1056">
        <f t="shared" si="66"/>
        <v>0.5699769999999944</v>
      </c>
      <c r="J1056">
        <v>4807800</v>
      </c>
      <c r="K1056">
        <v>-8.8145896656534897E-2</v>
      </c>
      <c r="L1056">
        <v>-29</v>
      </c>
      <c r="M1056">
        <f t="shared" si="67"/>
        <v>1.6001599685515856E-3</v>
      </c>
      <c r="N1056">
        <v>329</v>
      </c>
    </row>
    <row r="1057" spans="1:14" x14ac:dyDescent="0.25">
      <c r="A1057" s="1">
        <v>44631</v>
      </c>
      <c r="B1057" s="1">
        <f t="shared" si="64"/>
        <v>2022</v>
      </c>
      <c r="C1057" s="1" t="str">
        <f t="shared" si="65"/>
        <v>Mar</v>
      </c>
      <c r="D1057">
        <v>361.19000199999999</v>
      </c>
      <c r="E1057">
        <v>363.35998499999999</v>
      </c>
      <c r="F1057">
        <v>340</v>
      </c>
      <c r="G1057">
        <v>340.32000699999998</v>
      </c>
      <c r="H1057">
        <v>340.32000699999998</v>
      </c>
      <c r="I1057">
        <f t="shared" si="66"/>
        <v>-20.869995000000017</v>
      </c>
      <c r="J1057">
        <v>4819900</v>
      </c>
      <c r="K1057">
        <v>-0.13059701492537301</v>
      </c>
      <c r="L1057">
        <v>-35</v>
      </c>
      <c r="M1057">
        <f t="shared" si="67"/>
        <v>-5.7781209015857579E-2</v>
      </c>
      <c r="N1057">
        <v>268</v>
      </c>
    </row>
    <row r="1058" spans="1:14" x14ac:dyDescent="0.25">
      <c r="A1058" s="1">
        <v>44634</v>
      </c>
      <c r="B1058" s="1">
        <f t="shared" si="64"/>
        <v>2022</v>
      </c>
      <c r="C1058" s="1" t="str">
        <f t="shared" si="65"/>
        <v>Mar</v>
      </c>
      <c r="D1058">
        <v>338.72000100000002</v>
      </c>
      <c r="E1058">
        <v>341.32000699999998</v>
      </c>
      <c r="F1058">
        <v>329.82000699999998</v>
      </c>
      <c r="G1058">
        <v>331.01001000000002</v>
      </c>
      <c r="H1058">
        <v>331.01001000000002</v>
      </c>
      <c r="I1058">
        <f t="shared" si="66"/>
        <v>-7.7099910000000023</v>
      </c>
      <c r="J1058">
        <v>5907800</v>
      </c>
      <c r="K1058">
        <v>-0.12962962962962901</v>
      </c>
      <c r="L1058">
        <v>-42</v>
      </c>
      <c r="M1058">
        <f t="shared" si="67"/>
        <v>-2.2762136801009285E-2</v>
      </c>
      <c r="N1058">
        <v>324</v>
      </c>
    </row>
    <row r="1059" spans="1:14" x14ac:dyDescent="0.25">
      <c r="A1059" s="1">
        <v>44635</v>
      </c>
      <c r="B1059" s="1">
        <f t="shared" si="64"/>
        <v>2022</v>
      </c>
      <c r="C1059" s="1" t="str">
        <f t="shared" si="65"/>
        <v>Mar</v>
      </c>
      <c r="D1059">
        <v>335.10000600000001</v>
      </c>
      <c r="E1059">
        <v>345.35998499999999</v>
      </c>
      <c r="F1059">
        <v>332.35998499999999</v>
      </c>
      <c r="G1059">
        <v>343.75</v>
      </c>
      <c r="H1059">
        <v>343.75</v>
      </c>
      <c r="I1059">
        <f t="shared" si="66"/>
        <v>8.6499939999999924</v>
      </c>
      <c r="J1059">
        <v>5460600</v>
      </c>
      <c r="K1059">
        <v>-5.0675675675675602E-2</v>
      </c>
      <c r="L1059">
        <v>-15</v>
      </c>
      <c r="M1059">
        <f t="shared" si="67"/>
        <v>2.5813171725219224E-2</v>
      </c>
      <c r="N1059">
        <v>296</v>
      </c>
    </row>
    <row r="1060" spans="1:14" x14ac:dyDescent="0.25">
      <c r="A1060" s="1">
        <v>44636</v>
      </c>
      <c r="B1060" s="1">
        <f t="shared" si="64"/>
        <v>2022</v>
      </c>
      <c r="C1060" s="1" t="str">
        <f t="shared" si="65"/>
        <v>Mar</v>
      </c>
      <c r="D1060">
        <v>348.20001200000002</v>
      </c>
      <c r="E1060">
        <v>359.98998999999998</v>
      </c>
      <c r="F1060">
        <v>343.05999800000001</v>
      </c>
      <c r="G1060">
        <v>357.52999899999998</v>
      </c>
      <c r="H1060">
        <v>357.52999899999998</v>
      </c>
      <c r="I1060">
        <f t="shared" si="66"/>
        <v>9.3299869999999601</v>
      </c>
      <c r="J1060">
        <v>6982500</v>
      </c>
      <c r="K1060">
        <v>-9.9415204678362498E-2</v>
      </c>
      <c r="L1060">
        <v>-34</v>
      </c>
      <c r="M1060">
        <f t="shared" si="67"/>
        <v>2.6794907175362072E-2</v>
      </c>
      <c r="N1060">
        <v>342</v>
      </c>
    </row>
    <row r="1061" spans="1:14" x14ac:dyDescent="0.25">
      <c r="A1061" s="1">
        <v>44637</v>
      </c>
      <c r="B1061" s="1">
        <f t="shared" si="64"/>
        <v>2022</v>
      </c>
      <c r="C1061" s="1" t="str">
        <f t="shared" si="65"/>
        <v>Mar</v>
      </c>
      <c r="D1061">
        <v>359.70001200000002</v>
      </c>
      <c r="E1061">
        <v>373.30999800000001</v>
      </c>
      <c r="F1061">
        <v>354.88000499999998</v>
      </c>
      <c r="G1061">
        <v>371.39999399999999</v>
      </c>
      <c r="H1061">
        <v>371.39999399999999</v>
      </c>
      <c r="I1061">
        <f t="shared" si="66"/>
        <v>11.699981999999977</v>
      </c>
      <c r="J1061">
        <v>5818300</v>
      </c>
      <c r="K1061">
        <v>-5.4285714285714201E-2</v>
      </c>
      <c r="L1061">
        <v>-19</v>
      </c>
      <c r="M1061">
        <f t="shared" si="67"/>
        <v>3.252705479476041E-2</v>
      </c>
      <c r="N1061">
        <v>350</v>
      </c>
    </row>
    <row r="1062" spans="1:14" x14ac:dyDescent="0.25">
      <c r="A1062" s="1">
        <v>44638</v>
      </c>
      <c r="B1062" s="1">
        <f t="shared" si="64"/>
        <v>2022</v>
      </c>
      <c r="C1062" s="1" t="str">
        <f t="shared" si="65"/>
        <v>Mar</v>
      </c>
      <c r="D1062">
        <v>372</v>
      </c>
      <c r="E1062">
        <v>381.79998799999998</v>
      </c>
      <c r="F1062">
        <v>368.47000100000002</v>
      </c>
      <c r="G1062">
        <v>380.60000600000001</v>
      </c>
      <c r="H1062">
        <v>380.60000600000001</v>
      </c>
      <c r="I1062">
        <f t="shared" si="66"/>
        <v>8.6000060000000076</v>
      </c>
      <c r="J1062">
        <v>8324800</v>
      </c>
      <c r="K1062">
        <v>0</v>
      </c>
      <c r="L1062">
        <v>0</v>
      </c>
      <c r="M1062">
        <f t="shared" si="67"/>
        <v>2.3118295698924752E-2</v>
      </c>
      <c r="N1062">
        <v>258</v>
      </c>
    </row>
    <row r="1063" spans="1:14" x14ac:dyDescent="0.25">
      <c r="A1063" s="1">
        <v>44641</v>
      </c>
      <c r="B1063" s="1">
        <f t="shared" si="64"/>
        <v>2022</v>
      </c>
      <c r="C1063" s="1" t="str">
        <f t="shared" si="65"/>
        <v>Mar</v>
      </c>
      <c r="D1063">
        <v>378.01998900000001</v>
      </c>
      <c r="E1063">
        <v>381.82000699999998</v>
      </c>
      <c r="F1063">
        <v>368.94000199999999</v>
      </c>
      <c r="G1063">
        <v>374.58999599999999</v>
      </c>
      <c r="H1063">
        <v>374.58999599999999</v>
      </c>
      <c r="I1063">
        <f t="shared" si="66"/>
        <v>-3.4299930000000245</v>
      </c>
      <c r="J1063">
        <v>4866500</v>
      </c>
      <c r="K1063">
        <v>-5.2083333333333001E-3</v>
      </c>
      <c r="L1063">
        <v>-1</v>
      </c>
      <c r="M1063">
        <f t="shared" si="67"/>
        <v>-9.0735757362291874E-3</v>
      </c>
      <c r="N1063">
        <v>192</v>
      </c>
    </row>
    <row r="1064" spans="1:14" x14ac:dyDescent="0.25">
      <c r="A1064" s="1">
        <v>44642</v>
      </c>
      <c r="B1064" s="1">
        <f t="shared" si="64"/>
        <v>2022</v>
      </c>
      <c r="C1064" s="1" t="str">
        <f t="shared" si="65"/>
        <v>Mar</v>
      </c>
      <c r="D1064">
        <v>371.14001500000001</v>
      </c>
      <c r="E1064">
        <v>386.66000400000001</v>
      </c>
      <c r="F1064">
        <v>366.76001000000002</v>
      </c>
      <c r="G1064">
        <v>382.92001299999998</v>
      </c>
      <c r="H1064">
        <v>382.92001299999998</v>
      </c>
      <c r="I1064">
        <f t="shared" si="66"/>
        <v>11.779997999999978</v>
      </c>
      <c r="J1064">
        <v>4242800</v>
      </c>
      <c r="K1064">
        <v>2.2471910112359501E-2</v>
      </c>
      <c r="L1064">
        <v>6</v>
      </c>
      <c r="M1064">
        <f t="shared" si="67"/>
        <v>3.1740037516568988E-2</v>
      </c>
      <c r="N1064">
        <v>267</v>
      </c>
    </row>
    <row r="1065" spans="1:14" x14ac:dyDescent="0.25">
      <c r="A1065" s="1">
        <v>44643</v>
      </c>
      <c r="B1065" s="1">
        <f t="shared" si="64"/>
        <v>2022</v>
      </c>
      <c r="C1065" s="1" t="str">
        <f t="shared" si="65"/>
        <v>Mar</v>
      </c>
      <c r="D1065">
        <v>379.76998900000001</v>
      </c>
      <c r="E1065">
        <v>382.459991</v>
      </c>
      <c r="F1065">
        <v>374.48998999999998</v>
      </c>
      <c r="G1065">
        <v>374.48998999999998</v>
      </c>
      <c r="H1065">
        <v>374.48998999999998</v>
      </c>
      <c r="I1065">
        <f t="shared" si="66"/>
        <v>-5.2799990000000321</v>
      </c>
      <c r="J1065">
        <v>3729000</v>
      </c>
      <c r="K1065">
        <v>-0.100456621004566</v>
      </c>
      <c r="L1065">
        <v>-22</v>
      </c>
      <c r="M1065">
        <f t="shared" si="67"/>
        <v>-1.390314967726434E-2</v>
      </c>
      <c r="N1065">
        <v>219</v>
      </c>
    </row>
    <row r="1066" spans="1:14" x14ac:dyDescent="0.25">
      <c r="A1066" s="1">
        <v>44644</v>
      </c>
      <c r="B1066" s="1">
        <f t="shared" si="64"/>
        <v>2022</v>
      </c>
      <c r="C1066" s="1" t="str">
        <f t="shared" si="65"/>
        <v>Mar</v>
      </c>
      <c r="D1066">
        <v>379.76001000000002</v>
      </c>
      <c r="E1066">
        <v>379.76001000000002</v>
      </c>
      <c r="F1066">
        <v>368.89999399999999</v>
      </c>
      <c r="G1066">
        <v>375.709991</v>
      </c>
      <c r="H1066">
        <v>375.709991</v>
      </c>
      <c r="I1066">
        <f t="shared" si="66"/>
        <v>-4.0500190000000202</v>
      </c>
      <c r="J1066">
        <v>3888500</v>
      </c>
      <c r="K1066">
        <v>-4.2801556420233401E-2</v>
      </c>
      <c r="L1066">
        <v>-11</v>
      </c>
      <c r="M1066">
        <f t="shared" si="67"/>
        <v>-1.0664680043588634E-2</v>
      </c>
      <c r="N1066">
        <v>257</v>
      </c>
    </row>
    <row r="1067" spans="1:14" x14ac:dyDescent="0.25">
      <c r="A1067" s="1">
        <v>44645</v>
      </c>
      <c r="B1067" s="1">
        <f t="shared" si="64"/>
        <v>2022</v>
      </c>
      <c r="C1067" s="1" t="str">
        <f t="shared" si="65"/>
        <v>Mar</v>
      </c>
      <c r="D1067">
        <v>377.07000699999998</v>
      </c>
      <c r="E1067">
        <v>377.64001500000001</v>
      </c>
      <c r="F1067">
        <v>366.42999300000002</v>
      </c>
      <c r="G1067">
        <v>373.85000600000001</v>
      </c>
      <c r="H1067">
        <v>373.85000600000001</v>
      </c>
      <c r="I1067">
        <f t="shared" si="66"/>
        <v>-3.2200009999999679</v>
      </c>
      <c r="J1067">
        <v>3574500</v>
      </c>
      <c r="K1067">
        <v>-5.1162790697674397E-2</v>
      </c>
      <c r="L1067">
        <v>-11</v>
      </c>
      <c r="M1067">
        <f t="shared" si="67"/>
        <v>-8.5395309630128396E-3</v>
      </c>
      <c r="N1067">
        <v>215</v>
      </c>
    </row>
    <row r="1068" spans="1:14" x14ac:dyDescent="0.25">
      <c r="A1068" s="1">
        <v>44648</v>
      </c>
      <c r="B1068" s="1">
        <f t="shared" si="64"/>
        <v>2022</v>
      </c>
      <c r="C1068" s="1" t="str">
        <f t="shared" si="65"/>
        <v>Mar</v>
      </c>
      <c r="D1068">
        <v>375.23001099999999</v>
      </c>
      <c r="E1068">
        <v>380.27999899999998</v>
      </c>
      <c r="F1068">
        <v>366.73001099999999</v>
      </c>
      <c r="G1068">
        <v>378.51001000000002</v>
      </c>
      <c r="H1068">
        <v>378.51001000000002</v>
      </c>
      <c r="I1068">
        <f t="shared" si="66"/>
        <v>3.2799990000000321</v>
      </c>
      <c r="J1068">
        <v>4323400</v>
      </c>
      <c r="K1068">
        <v>-9.1269841269841195E-2</v>
      </c>
      <c r="L1068">
        <v>-23</v>
      </c>
      <c r="M1068">
        <f t="shared" si="67"/>
        <v>8.7413024114428636E-3</v>
      </c>
      <c r="N1068">
        <v>252</v>
      </c>
    </row>
    <row r="1069" spans="1:14" x14ac:dyDescent="0.25">
      <c r="A1069" s="1">
        <v>44649</v>
      </c>
      <c r="B1069" s="1">
        <f t="shared" si="64"/>
        <v>2022</v>
      </c>
      <c r="C1069" s="1" t="str">
        <f t="shared" si="65"/>
        <v>Mar</v>
      </c>
      <c r="D1069">
        <v>384.39001500000001</v>
      </c>
      <c r="E1069">
        <v>396.5</v>
      </c>
      <c r="F1069">
        <v>380.32998700000002</v>
      </c>
      <c r="G1069">
        <v>391.82000699999998</v>
      </c>
      <c r="H1069">
        <v>391.82000699999998</v>
      </c>
      <c r="I1069">
        <f t="shared" si="66"/>
        <v>7.4299919999999702</v>
      </c>
      <c r="J1069">
        <v>5880700</v>
      </c>
      <c r="K1069">
        <v>6.7415730337078003E-3</v>
      </c>
      <c r="L1069">
        <v>3</v>
      </c>
      <c r="M1069">
        <f t="shared" si="67"/>
        <v>1.9329305419132622E-2</v>
      </c>
      <c r="N1069">
        <v>445</v>
      </c>
    </row>
    <row r="1070" spans="1:14" x14ac:dyDescent="0.25">
      <c r="A1070" s="1">
        <v>44650</v>
      </c>
      <c r="B1070" s="1">
        <f t="shared" si="64"/>
        <v>2022</v>
      </c>
      <c r="C1070" s="1" t="str">
        <f t="shared" si="65"/>
        <v>Mar</v>
      </c>
      <c r="D1070">
        <v>389.54998799999998</v>
      </c>
      <c r="E1070">
        <v>392.70001200000002</v>
      </c>
      <c r="F1070">
        <v>378.63000499999998</v>
      </c>
      <c r="G1070">
        <v>381.47000100000002</v>
      </c>
      <c r="H1070">
        <v>381.47000100000002</v>
      </c>
      <c r="I1070">
        <f t="shared" si="66"/>
        <v>-8.0799869999999601</v>
      </c>
      <c r="J1070">
        <v>4023300</v>
      </c>
      <c r="K1070">
        <v>-8.9605734767025005E-2</v>
      </c>
      <c r="L1070">
        <v>-25</v>
      </c>
      <c r="M1070">
        <f t="shared" si="67"/>
        <v>-2.0741848925432287E-2</v>
      </c>
      <c r="N1070">
        <v>279</v>
      </c>
    </row>
    <row r="1071" spans="1:14" x14ac:dyDescent="0.25">
      <c r="A1071" s="1">
        <v>44651</v>
      </c>
      <c r="B1071" s="1">
        <f t="shared" si="64"/>
        <v>2022</v>
      </c>
      <c r="C1071" s="1" t="str">
        <f t="shared" si="65"/>
        <v>Mar</v>
      </c>
      <c r="D1071">
        <v>383.58999599999999</v>
      </c>
      <c r="E1071">
        <v>384</v>
      </c>
      <c r="F1071">
        <v>373.60998499999999</v>
      </c>
      <c r="G1071">
        <v>374.58999599999999</v>
      </c>
      <c r="H1071">
        <v>374.58999599999999</v>
      </c>
      <c r="I1071">
        <f t="shared" si="66"/>
        <v>-9</v>
      </c>
      <c r="J1071">
        <v>4134700</v>
      </c>
      <c r="K1071">
        <v>-9.375E-2</v>
      </c>
      <c r="L1071">
        <v>-18</v>
      </c>
      <c r="M1071">
        <f t="shared" si="67"/>
        <v>-2.3462551406059091E-2</v>
      </c>
      <c r="N1071">
        <v>192</v>
      </c>
    </row>
    <row r="1072" spans="1:14" x14ac:dyDescent="0.25">
      <c r="A1072" s="1">
        <v>44652</v>
      </c>
      <c r="B1072" s="1">
        <f t="shared" si="64"/>
        <v>2022</v>
      </c>
      <c r="C1072" s="1" t="str">
        <f t="shared" si="65"/>
        <v>Apr</v>
      </c>
      <c r="D1072">
        <v>376.79998799999998</v>
      </c>
      <c r="E1072">
        <v>380.86999500000002</v>
      </c>
      <c r="F1072">
        <v>368.5</v>
      </c>
      <c r="G1072">
        <v>373.47000100000002</v>
      </c>
      <c r="H1072">
        <v>373.47000100000002</v>
      </c>
      <c r="I1072">
        <f t="shared" si="66"/>
        <v>-3.3299869999999601</v>
      </c>
      <c r="J1072">
        <v>4644200</v>
      </c>
      <c r="K1072">
        <v>-0.112612612612612</v>
      </c>
      <c r="L1072">
        <v>-25</v>
      </c>
      <c r="M1072">
        <f t="shared" si="67"/>
        <v>-8.8375453982232084E-3</v>
      </c>
      <c r="N1072">
        <v>222</v>
      </c>
    </row>
    <row r="1073" spans="1:14" x14ac:dyDescent="0.25">
      <c r="A1073" s="1">
        <v>44655</v>
      </c>
      <c r="B1073" s="1">
        <f t="shared" si="64"/>
        <v>2022</v>
      </c>
      <c r="C1073" s="1" t="str">
        <f t="shared" si="65"/>
        <v>Apr</v>
      </c>
      <c r="D1073">
        <v>373.54998799999998</v>
      </c>
      <c r="E1073">
        <v>396.01998900000001</v>
      </c>
      <c r="F1073">
        <v>373.13000499999998</v>
      </c>
      <c r="G1073">
        <v>391.5</v>
      </c>
      <c r="H1073">
        <v>391.5</v>
      </c>
      <c r="I1073">
        <f t="shared" si="66"/>
        <v>17.950012000000015</v>
      </c>
      <c r="J1073">
        <v>7001800</v>
      </c>
      <c r="K1073">
        <v>1.7142857142857099E-2</v>
      </c>
      <c r="L1073">
        <v>6</v>
      </c>
      <c r="M1073">
        <f t="shared" si="67"/>
        <v>4.8052503216785045E-2</v>
      </c>
      <c r="N1073">
        <v>350</v>
      </c>
    </row>
    <row r="1074" spans="1:14" x14ac:dyDescent="0.25">
      <c r="A1074" s="1">
        <v>44656</v>
      </c>
      <c r="B1074" s="1">
        <f t="shared" si="64"/>
        <v>2022</v>
      </c>
      <c r="C1074" s="1" t="str">
        <f t="shared" si="65"/>
        <v>Apr</v>
      </c>
      <c r="D1074">
        <v>389.29998799999998</v>
      </c>
      <c r="E1074">
        <v>390</v>
      </c>
      <c r="F1074">
        <v>377.30999800000001</v>
      </c>
      <c r="G1074">
        <v>380.14999399999999</v>
      </c>
      <c r="H1074">
        <v>380.14999399999999</v>
      </c>
      <c r="I1074">
        <f t="shared" si="66"/>
        <v>-9.1499939999999924</v>
      </c>
      <c r="J1074">
        <v>4234500</v>
      </c>
      <c r="K1074">
        <v>-4.8689138576778999E-2</v>
      </c>
      <c r="L1074">
        <v>-13</v>
      </c>
      <c r="M1074">
        <f t="shared" si="67"/>
        <v>-2.3503709946171365E-2</v>
      </c>
      <c r="N1074">
        <v>267</v>
      </c>
    </row>
    <row r="1075" spans="1:14" x14ac:dyDescent="0.25">
      <c r="A1075" s="1">
        <v>44657</v>
      </c>
      <c r="B1075" s="1">
        <f t="shared" si="64"/>
        <v>2022</v>
      </c>
      <c r="C1075" s="1" t="str">
        <f t="shared" si="65"/>
        <v>Apr</v>
      </c>
      <c r="D1075">
        <v>374.14999399999999</v>
      </c>
      <c r="E1075">
        <v>376.47000100000002</v>
      </c>
      <c r="F1075">
        <v>362.73001099999999</v>
      </c>
      <c r="G1075">
        <v>368.35000600000001</v>
      </c>
      <c r="H1075">
        <v>368.35000600000001</v>
      </c>
      <c r="I1075">
        <f t="shared" si="66"/>
        <v>-5.7999879999999848</v>
      </c>
      <c r="J1075">
        <v>4354900</v>
      </c>
      <c r="K1075">
        <v>-5.1401869158878503E-2</v>
      </c>
      <c r="L1075">
        <v>-11</v>
      </c>
      <c r="M1075">
        <f t="shared" si="67"/>
        <v>-1.5501772265162686E-2</v>
      </c>
      <c r="N1075">
        <v>214</v>
      </c>
    </row>
    <row r="1076" spans="1:14" x14ac:dyDescent="0.25">
      <c r="A1076" s="1">
        <v>44658</v>
      </c>
      <c r="B1076" s="1">
        <f t="shared" si="64"/>
        <v>2022</v>
      </c>
      <c r="C1076" s="1" t="str">
        <f t="shared" si="65"/>
        <v>Apr</v>
      </c>
      <c r="D1076">
        <v>365</v>
      </c>
      <c r="E1076">
        <v>368.540009</v>
      </c>
      <c r="F1076">
        <v>353.69000199999999</v>
      </c>
      <c r="G1076">
        <v>362.14999399999999</v>
      </c>
      <c r="H1076">
        <v>362.14999399999999</v>
      </c>
      <c r="I1076">
        <f t="shared" si="66"/>
        <v>-2.8500060000000076</v>
      </c>
      <c r="J1076">
        <v>4948900</v>
      </c>
      <c r="K1076">
        <v>-9.45945945945946E-2</v>
      </c>
      <c r="L1076">
        <v>-28</v>
      </c>
      <c r="M1076">
        <f t="shared" si="67"/>
        <v>-7.8082356164383771E-3</v>
      </c>
      <c r="N1076">
        <v>296</v>
      </c>
    </row>
    <row r="1077" spans="1:14" x14ac:dyDescent="0.25">
      <c r="A1077" s="1">
        <v>44659</v>
      </c>
      <c r="B1077" s="1">
        <f t="shared" si="64"/>
        <v>2022</v>
      </c>
      <c r="C1077" s="1" t="str">
        <f t="shared" si="65"/>
        <v>Apr</v>
      </c>
      <c r="D1077">
        <v>361.959991</v>
      </c>
      <c r="E1077">
        <v>362.5</v>
      </c>
      <c r="F1077">
        <v>354.86999500000002</v>
      </c>
      <c r="G1077">
        <v>355.88000499999998</v>
      </c>
      <c r="H1077">
        <v>355.88000499999998</v>
      </c>
      <c r="I1077">
        <f t="shared" si="66"/>
        <v>-6.0799860000000194</v>
      </c>
      <c r="J1077">
        <v>4025200</v>
      </c>
      <c r="K1077">
        <v>-0.122171945701357</v>
      </c>
      <c r="L1077">
        <v>-27</v>
      </c>
      <c r="M1077">
        <f t="shared" si="67"/>
        <v>-1.6797397920147533E-2</v>
      </c>
      <c r="N1077">
        <v>221</v>
      </c>
    </row>
    <row r="1078" spans="1:14" x14ac:dyDescent="0.25">
      <c r="A1078" s="1">
        <v>44662</v>
      </c>
      <c r="B1078" s="1">
        <f t="shared" si="64"/>
        <v>2022</v>
      </c>
      <c r="C1078" s="1" t="str">
        <f t="shared" si="65"/>
        <v>Apr</v>
      </c>
      <c r="D1078">
        <v>350</v>
      </c>
      <c r="E1078">
        <v>354.77999899999998</v>
      </c>
      <c r="F1078">
        <v>345.20001200000002</v>
      </c>
      <c r="G1078">
        <v>348</v>
      </c>
      <c r="H1078">
        <v>348</v>
      </c>
      <c r="I1078">
        <f t="shared" si="66"/>
        <v>-2</v>
      </c>
      <c r="J1078">
        <v>3777100</v>
      </c>
      <c r="K1078">
        <v>-1.6E-2</v>
      </c>
      <c r="L1078">
        <v>-4</v>
      </c>
      <c r="M1078">
        <f t="shared" si="67"/>
        <v>-5.7142857142857143E-3</v>
      </c>
      <c r="N1078">
        <v>250</v>
      </c>
    </row>
    <row r="1079" spans="1:14" x14ac:dyDescent="0.25">
      <c r="A1079" s="1">
        <v>44663</v>
      </c>
      <c r="B1079" s="1">
        <f t="shared" si="64"/>
        <v>2022</v>
      </c>
      <c r="C1079" s="1" t="str">
        <f t="shared" si="65"/>
        <v>Apr</v>
      </c>
      <c r="D1079">
        <v>355.91000400000001</v>
      </c>
      <c r="E1079">
        <v>359.41000400000001</v>
      </c>
      <c r="F1079">
        <v>342.25</v>
      </c>
      <c r="G1079">
        <v>344.10000600000001</v>
      </c>
      <c r="H1079">
        <v>344.10000600000001</v>
      </c>
      <c r="I1079">
        <f t="shared" si="66"/>
        <v>-11.809998000000007</v>
      </c>
      <c r="J1079">
        <v>3824300</v>
      </c>
      <c r="K1079">
        <v>-1.7482517482517401E-2</v>
      </c>
      <c r="L1079">
        <v>-5</v>
      </c>
      <c r="M1079">
        <f t="shared" si="67"/>
        <v>-3.3182540156977455E-2</v>
      </c>
      <c r="N1079">
        <v>286</v>
      </c>
    </row>
    <row r="1080" spans="1:14" x14ac:dyDescent="0.25">
      <c r="A1080" s="1">
        <v>44664</v>
      </c>
      <c r="B1080" s="1">
        <f t="shared" si="64"/>
        <v>2022</v>
      </c>
      <c r="C1080" s="1" t="str">
        <f t="shared" si="65"/>
        <v>Apr</v>
      </c>
      <c r="D1080">
        <v>343.92001299999998</v>
      </c>
      <c r="E1080">
        <v>352</v>
      </c>
      <c r="F1080">
        <v>341.16000400000001</v>
      </c>
      <c r="G1080">
        <v>350.42999300000002</v>
      </c>
      <c r="H1080">
        <v>350.42999300000002</v>
      </c>
      <c r="I1080">
        <f t="shared" si="66"/>
        <v>6.5099800000000414</v>
      </c>
      <c r="J1080">
        <v>3231000</v>
      </c>
      <c r="K1080">
        <v>-6.4981949458483707E-2</v>
      </c>
      <c r="L1080">
        <v>-18</v>
      </c>
      <c r="M1080">
        <f t="shared" si="67"/>
        <v>1.8928761787410264E-2</v>
      </c>
      <c r="N1080">
        <v>277</v>
      </c>
    </row>
    <row r="1081" spans="1:14" x14ac:dyDescent="0.25">
      <c r="A1081" s="1">
        <v>44665</v>
      </c>
      <c r="B1081" s="1">
        <f t="shared" si="64"/>
        <v>2022</v>
      </c>
      <c r="C1081" s="1" t="str">
        <f t="shared" si="65"/>
        <v>Apr</v>
      </c>
      <c r="D1081">
        <v>350.95001200000002</v>
      </c>
      <c r="E1081">
        <v>352</v>
      </c>
      <c r="F1081">
        <v>339.85998499999999</v>
      </c>
      <c r="G1081">
        <v>341.13000499999998</v>
      </c>
      <c r="H1081">
        <v>341.13000499999998</v>
      </c>
      <c r="I1081">
        <f t="shared" si="66"/>
        <v>-9.8200070000000323</v>
      </c>
      <c r="J1081">
        <v>4343800</v>
      </c>
      <c r="K1081">
        <v>-7.0539419087136901E-2</v>
      </c>
      <c r="L1081">
        <v>-17</v>
      </c>
      <c r="M1081">
        <f t="shared" si="67"/>
        <v>-2.7981212891367652E-2</v>
      </c>
      <c r="N1081">
        <v>241</v>
      </c>
    </row>
    <row r="1082" spans="1:14" x14ac:dyDescent="0.25">
      <c r="A1082" s="1">
        <v>44669</v>
      </c>
      <c r="B1082" s="1">
        <f t="shared" si="64"/>
        <v>2022</v>
      </c>
      <c r="C1082" s="1" t="str">
        <f t="shared" si="65"/>
        <v>Apr</v>
      </c>
      <c r="D1082">
        <v>340</v>
      </c>
      <c r="E1082">
        <v>342.35998499999999</v>
      </c>
      <c r="F1082">
        <v>331.61999500000002</v>
      </c>
      <c r="G1082">
        <v>337.85998499999999</v>
      </c>
      <c r="H1082">
        <v>337.85998499999999</v>
      </c>
      <c r="I1082">
        <f t="shared" si="66"/>
        <v>-2.1400150000000053</v>
      </c>
      <c r="J1082">
        <v>5105000</v>
      </c>
      <c r="K1082">
        <v>-8.9393939393939401E-2</v>
      </c>
      <c r="L1082">
        <v>-59</v>
      </c>
      <c r="M1082">
        <f t="shared" si="67"/>
        <v>-6.2941617647058979E-3</v>
      </c>
      <c r="N1082">
        <v>660</v>
      </c>
    </row>
    <row r="1083" spans="1:14" x14ac:dyDescent="0.25">
      <c r="A1083" s="1">
        <v>44670</v>
      </c>
      <c r="B1083" s="1">
        <f t="shared" si="64"/>
        <v>2022</v>
      </c>
      <c r="C1083" s="1" t="str">
        <f t="shared" si="65"/>
        <v>Apr</v>
      </c>
      <c r="D1083">
        <v>333.22000100000002</v>
      </c>
      <c r="E1083">
        <v>351.67999300000002</v>
      </c>
      <c r="F1083">
        <v>333.22000100000002</v>
      </c>
      <c r="G1083">
        <v>348.60998499999999</v>
      </c>
      <c r="H1083">
        <v>348.60998499999999</v>
      </c>
      <c r="I1083">
        <f t="shared" si="66"/>
        <v>15.38998399999997</v>
      </c>
      <c r="J1083">
        <v>20906900</v>
      </c>
      <c r="K1083">
        <v>-0.242612942612942</v>
      </c>
      <c r="L1083">
        <v>-1987</v>
      </c>
      <c r="M1083">
        <f t="shared" si="67"/>
        <v>4.6185654984137549E-2</v>
      </c>
      <c r="N1083">
        <v>8190</v>
      </c>
    </row>
    <row r="1084" spans="1:14" x14ac:dyDescent="0.25">
      <c r="A1084" s="1">
        <v>44671</v>
      </c>
      <c r="B1084" s="1">
        <f t="shared" si="64"/>
        <v>2022</v>
      </c>
      <c r="C1084" s="1" t="str">
        <f t="shared" si="65"/>
        <v>Apr</v>
      </c>
      <c r="D1084">
        <v>245.199997</v>
      </c>
      <c r="E1084">
        <v>248.699997</v>
      </c>
      <c r="F1084">
        <v>212.509995</v>
      </c>
      <c r="G1084">
        <v>226.19000199999999</v>
      </c>
      <c r="H1084">
        <v>226.19000199999999</v>
      </c>
      <c r="I1084">
        <f t="shared" si="66"/>
        <v>-19.009995000000004</v>
      </c>
      <c r="J1084">
        <v>133387500</v>
      </c>
      <c r="K1084">
        <v>-0.244598516607545</v>
      </c>
      <c r="L1084">
        <v>-3034</v>
      </c>
      <c r="M1084">
        <f t="shared" si="67"/>
        <v>-7.7528528681017908E-2</v>
      </c>
      <c r="N1084">
        <v>12404</v>
      </c>
    </row>
    <row r="1085" spans="1:14" x14ac:dyDescent="0.25">
      <c r="A1085" s="1">
        <v>44672</v>
      </c>
      <c r="B1085" s="1">
        <f t="shared" si="64"/>
        <v>2022</v>
      </c>
      <c r="C1085" s="1" t="str">
        <f t="shared" si="65"/>
        <v>Apr</v>
      </c>
      <c r="D1085">
        <v>220</v>
      </c>
      <c r="E1085">
        <v>227.679993</v>
      </c>
      <c r="F1085">
        <v>211.520004</v>
      </c>
      <c r="G1085">
        <v>218.220001</v>
      </c>
      <c r="H1085">
        <v>218.220001</v>
      </c>
      <c r="I1085">
        <f t="shared" si="66"/>
        <v>-1.7799990000000037</v>
      </c>
      <c r="J1085">
        <v>53501600</v>
      </c>
      <c r="K1085">
        <v>-0.22950819672131101</v>
      </c>
      <c r="L1085">
        <v>-1106</v>
      </c>
      <c r="M1085">
        <f t="shared" si="67"/>
        <v>-8.0909045454545629E-3</v>
      </c>
      <c r="N1085">
        <v>4819</v>
      </c>
    </row>
    <row r="1086" spans="1:14" x14ac:dyDescent="0.25">
      <c r="A1086" s="1">
        <v>44673</v>
      </c>
      <c r="B1086" s="1">
        <f t="shared" si="64"/>
        <v>2022</v>
      </c>
      <c r="C1086" s="1" t="str">
        <f t="shared" si="65"/>
        <v>Apr</v>
      </c>
      <c r="D1086">
        <v>220.179993</v>
      </c>
      <c r="E1086">
        <v>226.270004</v>
      </c>
      <c r="F1086">
        <v>210.050003</v>
      </c>
      <c r="G1086">
        <v>215.520004</v>
      </c>
      <c r="H1086">
        <v>215.520004</v>
      </c>
      <c r="I1086">
        <f t="shared" si="66"/>
        <v>-4.6599889999999959</v>
      </c>
      <c r="J1086">
        <v>37515100</v>
      </c>
      <c r="K1086">
        <v>-0.17078085642317301</v>
      </c>
      <c r="L1086">
        <v>-339</v>
      </c>
      <c r="M1086">
        <f t="shared" si="67"/>
        <v>-2.1164452485017547E-2</v>
      </c>
      <c r="N1086">
        <v>1985</v>
      </c>
    </row>
    <row r="1087" spans="1:14" x14ac:dyDescent="0.25">
      <c r="A1087" s="1">
        <v>44676</v>
      </c>
      <c r="B1087" s="1">
        <f t="shared" si="64"/>
        <v>2022</v>
      </c>
      <c r="C1087" s="1" t="str">
        <f t="shared" si="65"/>
        <v>Apr</v>
      </c>
      <c r="D1087">
        <v>213.80999800000001</v>
      </c>
      <c r="E1087">
        <v>216.66000399999999</v>
      </c>
      <c r="F1087">
        <v>204.509995</v>
      </c>
      <c r="G1087">
        <v>209.91000399999999</v>
      </c>
      <c r="H1087">
        <v>209.91000399999999</v>
      </c>
      <c r="I1087">
        <f t="shared" si="66"/>
        <v>-3.8999940000000208</v>
      </c>
      <c r="J1087">
        <v>28152000</v>
      </c>
      <c r="K1087">
        <v>-0.177740863787375</v>
      </c>
      <c r="L1087">
        <v>-214</v>
      </c>
      <c r="M1087">
        <f t="shared" si="67"/>
        <v>-1.8240466004775045E-2</v>
      </c>
      <c r="N1087">
        <v>1204</v>
      </c>
    </row>
    <row r="1088" spans="1:14" x14ac:dyDescent="0.25">
      <c r="A1088" s="1">
        <v>44677</v>
      </c>
      <c r="B1088" s="1">
        <f t="shared" si="64"/>
        <v>2022</v>
      </c>
      <c r="C1088" s="1" t="str">
        <f t="shared" si="65"/>
        <v>Apr</v>
      </c>
      <c r="D1088">
        <v>208.800003</v>
      </c>
      <c r="E1088">
        <v>209.14999399999999</v>
      </c>
      <c r="F1088">
        <v>198.279999</v>
      </c>
      <c r="G1088">
        <v>198.39999399999999</v>
      </c>
      <c r="H1088">
        <v>198.39999399999999</v>
      </c>
      <c r="I1088">
        <f t="shared" si="66"/>
        <v>-10.400009000000011</v>
      </c>
      <c r="J1088">
        <v>20318100</v>
      </c>
      <c r="K1088">
        <v>-0.20050761421319699</v>
      </c>
      <c r="L1088">
        <v>-237</v>
      </c>
      <c r="M1088">
        <f t="shared" si="67"/>
        <v>-4.9808471506583317E-2</v>
      </c>
      <c r="N1088">
        <v>1182</v>
      </c>
    </row>
    <row r="1089" spans="1:14" x14ac:dyDescent="0.25">
      <c r="A1089" s="1">
        <v>44678</v>
      </c>
      <c r="B1089" s="1">
        <f t="shared" si="64"/>
        <v>2022</v>
      </c>
      <c r="C1089" s="1" t="str">
        <f t="shared" si="65"/>
        <v>Apr</v>
      </c>
      <c r="D1089">
        <v>194.009995</v>
      </c>
      <c r="E1089">
        <v>200.19000199999999</v>
      </c>
      <c r="F1089">
        <v>187.770004</v>
      </c>
      <c r="G1089">
        <v>188.53999300000001</v>
      </c>
      <c r="H1089">
        <v>188.53999300000001</v>
      </c>
      <c r="I1089">
        <f t="shared" si="66"/>
        <v>-5.4700019999999938</v>
      </c>
      <c r="J1089">
        <v>22298400</v>
      </c>
      <c r="K1089">
        <v>-0.17517136329017499</v>
      </c>
      <c r="L1089">
        <v>-230</v>
      </c>
      <c r="M1089">
        <f t="shared" si="67"/>
        <v>-2.8194434003258408E-2</v>
      </c>
      <c r="N1089">
        <v>1313</v>
      </c>
    </row>
    <row r="1090" spans="1:14" x14ac:dyDescent="0.25">
      <c r="A1090" s="1">
        <v>44679</v>
      </c>
      <c r="B1090" s="1">
        <f t="shared" ref="B1090:B1138" si="68">YEAR(A1090)</f>
        <v>2022</v>
      </c>
      <c r="C1090" s="1" t="str">
        <f t="shared" ref="C1090:C1138" si="69">TEXT(A1090,"mmm")</f>
        <v>Apr</v>
      </c>
      <c r="D1090">
        <v>191.55999800000001</v>
      </c>
      <c r="E1090">
        <v>201.479996</v>
      </c>
      <c r="F1090">
        <v>185.60000600000001</v>
      </c>
      <c r="G1090">
        <v>199.520004</v>
      </c>
      <c r="H1090">
        <v>199.520004</v>
      </c>
      <c r="I1090">
        <f t="shared" ref="I1090:I1138" si="70">G1090-D1090</f>
        <v>7.9600059999999928</v>
      </c>
      <c r="J1090">
        <v>21363200</v>
      </c>
      <c r="K1090">
        <v>-0.171802054154995</v>
      </c>
      <c r="L1090">
        <v>-184</v>
      </c>
      <c r="M1090">
        <f t="shared" ref="M1090:M1138" si="71">(G1090-D1090)/D1090</f>
        <v>4.1553591997844939E-2</v>
      </c>
      <c r="N1090">
        <v>1071</v>
      </c>
    </row>
    <row r="1091" spans="1:14" x14ac:dyDescent="0.25">
      <c r="A1091" s="1">
        <v>44680</v>
      </c>
      <c r="B1091" s="1">
        <f t="shared" si="68"/>
        <v>2022</v>
      </c>
      <c r="C1091" s="1" t="str">
        <f t="shared" si="69"/>
        <v>Apr</v>
      </c>
      <c r="D1091">
        <v>198.679993</v>
      </c>
      <c r="E1091">
        <v>204.71000699999999</v>
      </c>
      <c r="F1091">
        <v>190</v>
      </c>
      <c r="G1091">
        <v>190.36000100000001</v>
      </c>
      <c r="H1091">
        <v>190.36000100000001</v>
      </c>
      <c r="I1091">
        <f t="shared" si="70"/>
        <v>-8.319991999999985</v>
      </c>
      <c r="J1091">
        <v>16391900</v>
      </c>
      <c r="K1091">
        <v>-0.18086347724620699</v>
      </c>
      <c r="L1091">
        <v>-155</v>
      </c>
      <c r="M1091">
        <f t="shared" si="71"/>
        <v>-4.1876345344948676E-2</v>
      </c>
      <c r="N1091">
        <v>857</v>
      </c>
    </row>
    <row r="1092" spans="1:14" x14ac:dyDescent="0.25">
      <c r="A1092" s="1">
        <v>44683</v>
      </c>
      <c r="B1092" s="1">
        <f t="shared" si="68"/>
        <v>2022</v>
      </c>
      <c r="C1092" s="1" t="str">
        <f t="shared" si="69"/>
        <v>May</v>
      </c>
      <c r="D1092">
        <v>191.71000699999999</v>
      </c>
      <c r="E1092">
        <v>200.21000699999999</v>
      </c>
      <c r="F1092">
        <v>190.009995</v>
      </c>
      <c r="G1092">
        <v>199.46000699999999</v>
      </c>
      <c r="H1092">
        <v>199.46000699999999</v>
      </c>
      <c r="I1092">
        <f t="shared" si="70"/>
        <v>7.75</v>
      </c>
      <c r="J1092">
        <v>14591600</v>
      </c>
      <c r="K1092">
        <v>-0.122743682310469</v>
      </c>
      <c r="L1092">
        <v>-68</v>
      </c>
      <c r="M1092">
        <f t="shared" si="71"/>
        <v>4.0425641422046375E-2</v>
      </c>
      <c r="N1092">
        <v>554</v>
      </c>
    </row>
    <row r="1093" spans="1:14" x14ac:dyDescent="0.25">
      <c r="A1093" s="1">
        <v>44684</v>
      </c>
      <c r="B1093" s="1">
        <f t="shared" si="68"/>
        <v>2022</v>
      </c>
      <c r="C1093" s="1" t="str">
        <f t="shared" si="69"/>
        <v>May</v>
      </c>
      <c r="D1093">
        <v>198.28999300000001</v>
      </c>
      <c r="E1093">
        <v>203.199997</v>
      </c>
      <c r="F1093">
        <v>194.770004</v>
      </c>
      <c r="G1093">
        <v>199.86999499999999</v>
      </c>
      <c r="H1093">
        <v>199.86999499999999</v>
      </c>
      <c r="I1093">
        <f t="shared" si="70"/>
        <v>1.580001999999979</v>
      </c>
      <c r="J1093">
        <v>11839400</v>
      </c>
      <c r="K1093">
        <v>-0.14027149321266899</v>
      </c>
      <c r="L1093">
        <v>-62</v>
      </c>
      <c r="M1093">
        <f t="shared" si="71"/>
        <v>7.9681378575669169E-3</v>
      </c>
      <c r="N1093">
        <v>442</v>
      </c>
    </row>
    <row r="1094" spans="1:14" x14ac:dyDescent="0.25">
      <c r="A1094" s="1">
        <v>44685</v>
      </c>
      <c r="B1094" s="1">
        <f t="shared" si="68"/>
        <v>2022</v>
      </c>
      <c r="C1094" s="1" t="str">
        <f t="shared" si="69"/>
        <v>May</v>
      </c>
      <c r="D1094">
        <v>197.64999399999999</v>
      </c>
      <c r="E1094">
        <v>204.38000500000001</v>
      </c>
      <c r="F1094">
        <v>191.009995</v>
      </c>
      <c r="G1094">
        <v>204.009995</v>
      </c>
      <c r="H1094">
        <v>204.009995</v>
      </c>
      <c r="I1094">
        <f t="shared" si="70"/>
        <v>6.3600010000000111</v>
      </c>
      <c r="J1094">
        <v>12218800</v>
      </c>
      <c r="K1094">
        <v>-0.188405797101449</v>
      </c>
      <c r="L1094">
        <v>-104</v>
      </c>
      <c r="M1094">
        <f t="shared" si="71"/>
        <v>3.2178098624177094E-2</v>
      </c>
      <c r="N1094">
        <v>552</v>
      </c>
    </row>
    <row r="1095" spans="1:14" x14ac:dyDescent="0.25">
      <c r="A1095" s="1">
        <v>44686</v>
      </c>
      <c r="B1095" s="1">
        <f t="shared" si="68"/>
        <v>2022</v>
      </c>
      <c r="C1095" s="1" t="str">
        <f t="shared" si="69"/>
        <v>May</v>
      </c>
      <c r="D1095">
        <v>200.449997</v>
      </c>
      <c r="E1095">
        <v>200.71000699999999</v>
      </c>
      <c r="F1095">
        <v>186</v>
      </c>
      <c r="G1095">
        <v>188.320007</v>
      </c>
      <c r="H1095">
        <v>188.320007</v>
      </c>
      <c r="I1095">
        <f t="shared" si="70"/>
        <v>-12.129989999999992</v>
      </c>
      <c r="J1095">
        <v>13971300</v>
      </c>
      <c r="K1095">
        <v>-0.18739054290717999</v>
      </c>
      <c r="L1095">
        <v>-107</v>
      </c>
      <c r="M1095">
        <f t="shared" si="71"/>
        <v>-6.051379486925107E-2</v>
      </c>
      <c r="N1095">
        <v>571</v>
      </c>
    </row>
    <row r="1096" spans="1:14" x14ac:dyDescent="0.25">
      <c r="A1096" s="1">
        <v>44687</v>
      </c>
      <c r="B1096" s="1">
        <f t="shared" si="68"/>
        <v>2022</v>
      </c>
      <c r="C1096" s="1" t="str">
        <f t="shared" si="69"/>
        <v>May</v>
      </c>
      <c r="D1096">
        <v>186.75</v>
      </c>
      <c r="E1096">
        <v>187.21000699999999</v>
      </c>
      <c r="F1096">
        <v>175.80999800000001</v>
      </c>
      <c r="G1096">
        <v>180.970001</v>
      </c>
      <c r="H1096">
        <v>180.970001</v>
      </c>
      <c r="I1096">
        <f t="shared" si="70"/>
        <v>-5.7799990000000037</v>
      </c>
      <c r="J1096">
        <v>17185500</v>
      </c>
      <c r="K1096">
        <v>-0.180272108843537</v>
      </c>
      <c r="L1096">
        <v>-106</v>
      </c>
      <c r="M1096">
        <f t="shared" si="71"/>
        <v>-3.0950463186077665E-2</v>
      </c>
      <c r="N1096">
        <v>588</v>
      </c>
    </row>
    <row r="1097" spans="1:14" x14ac:dyDescent="0.25">
      <c r="A1097" s="1">
        <v>44690</v>
      </c>
      <c r="B1097" s="1">
        <f t="shared" si="68"/>
        <v>2022</v>
      </c>
      <c r="C1097" s="1" t="str">
        <f t="shared" si="69"/>
        <v>May</v>
      </c>
      <c r="D1097">
        <v>177.66000399999999</v>
      </c>
      <c r="E1097">
        <v>183.199997</v>
      </c>
      <c r="F1097">
        <v>172.300003</v>
      </c>
      <c r="G1097">
        <v>173.10000600000001</v>
      </c>
      <c r="H1097">
        <v>173.10000600000001</v>
      </c>
      <c r="I1097">
        <f t="shared" si="70"/>
        <v>-4.5599979999999789</v>
      </c>
      <c r="J1097">
        <v>14031300</v>
      </c>
      <c r="K1097">
        <v>-0.173241852487135</v>
      </c>
      <c r="L1097">
        <v>-101</v>
      </c>
      <c r="M1097">
        <f t="shared" si="71"/>
        <v>-2.5666992555060279E-2</v>
      </c>
      <c r="N1097">
        <v>583</v>
      </c>
    </row>
    <row r="1098" spans="1:14" x14ac:dyDescent="0.25">
      <c r="A1098" s="1">
        <v>44691</v>
      </c>
      <c r="B1098" s="1">
        <f t="shared" si="68"/>
        <v>2022</v>
      </c>
      <c r="C1098" s="1" t="str">
        <f t="shared" si="69"/>
        <v>May</v>
      </c>
      <c r="D1098">
        <v>176.009995</v>
      </c>
      <c r="E1098">
        <v>181.86999499999999</v>
      </c>
      <c r="F1098">
        <v>170.570007</v>
      </c>
      <c r="G1098">
        <v>177.66000399999999</v>
      </c>
      <c r="H1098">
        <v>177.66000399999999</v>
      </c>
      <c r="I1098">
        <f t="shared" si="70"/>
        <v>1.650008999999983</v>
      </c>
      <c r="J1098">
        <v>13883900</v>
      </c>
      <c r="K1098">
        <v>-0.146164978292329</v>
      </c>
      <c r="L1098">
        <v>-101</v>
      </c>
      <c r="M1098">
        <f t="shared" si="71"/>
        <v>9.3745187595737564E-3</v>
      </c>
      <c r="N1098">
        <v>691</v>
      </c>
    </row>
    <row r="1099" spans="1:14" x14ac:dyDescent="0.25">
      <c r="A1099" s="1">
        <v>44692</v>
      </c>
      <c r="B1099" s="1">
        <f t="shared" si="68"/>
        <v>2022</v>
      </c>
      <c r="C1099" s="1" t="str">
        <f t="shared" si="69"/>
        <v>May</v>
      </c>
      <c r="D1099">
        <v>176.08999600000001</v>
      </c>
      <c r="E1099">
        <v>180.91999799999999</v>
      </c>
      <c r="F1099">
        <v>165.550003</v>
      </c>
      <c r="G1099">
        <v>166.36999499999999</v>
      </c>
      <c r="H1099">
        <v>166.36999499999999</v>
      </c>
      <c r="I1099">
        <f t="shared" si="70"/>
        <v>-9.7200010000000248</v>
      </c>
      <c r="J1099">
        <v>12665500</v>
      </c>
      <c r="K1099">
        <v>-0.21002710027100199</v>
      </c>
      <c r="L1099">
        <v>-155</v>
      </c>
      <c r="M1099">
        <f t="shared" si="71"/>
        <v>-5.519905287521288E-2</v>
      </c>
      <c r="N1099">
        <v>738</v>
      </c>
    </row>
    <row r="1100" spans="1:14" x14ac:dyDescent="0.25">
      <c r="A1100" s="1">
        <v>44693</v>
      </c>
      <c r="B1100" s="1">
        <f t="shared" si="68"/>
        <v>2022</v>
      </c>
      <c r="C1100" s="1" t="str">
        <f t="shared" si="69"/>
        <v>May</v>
      </c>
      <c r="D1100">
        <v>163.96000699999999</v>
      </c>
      <c r="E1100">
        <v>177.58000200000001</v>
      </c>
      <c r="F1100">
        <v>162.71000699999999</v>
      </c>
      <c r="G1100">
        <v>174.30999800000001</v>
      </c>
      <c r="H1100">
        <v>174.30999800000001</v>
      </c>
      <c r="I1100">
        <f t="shared" si="70"/>
        <v>10.349991000000017</v>
      </c>
      <c r="J1100">
        <v>17662100</v>
      </c>
      <c r="K1100">
        <v>-0.15040000000000001</v>
      </c>
      <c r="L1100">
        <v>-94</v>
      </c>
      <c r="M1100">
        <f t="shared" si="71"/>
        <v>6.3125094889755748E-2</v>
      </c>
      <c r="N1100">
        <v>625</v>
      </c>
    </row>
    <row r="1101" spans="1:14" x14ac:dyDescent="0.25">
      <c r="A1101" s="1">
        <v>44694</v>
      </c>
      <c r="B1101" s="1">
        <f t="shared" si="68"/>
        <v>2022</v>
      </c>
      <c r="C1101" s="1" t="str">
        <f t="shared" si="69"/>
        <v>May</v>
      </c>
      <c r="D1101">
        <v>177.16000399999999</v>
      </c>
      <c r="E1101">
        <v>187.770004</v>
      </c>
      <c r="F1101">
        <v>176.009995</v>
      </c>
      <c r="G1101">
        <v>187.63999899999999</v>
      </c>
      <c r="H1101">
        <v>187.63999899999999</v>
      </c>
      <c r="I1101">
        <f t="shared" si="70"/>
        <v>10.479995000000002</v>
      </c>
      <c r="J1101">
        <v>13136300</v>
      </c>
      <c r="K1101">
        <v>-0.121703853955375</v>
      </c>
      <c r="L1101">
        <v>-60</v>
      </c>
      <c r="M1101">
        <f t="shared" si="71"/>
        <v>5.915553603171065E-2</v>
      </c>
      <c r="N1101">
        <v>493</v>
      </c>
    </row>
    <row r="1102" spans="1:14" x14ac:dyDescent="0.25">
      <c r="A1102" s="1">
        <v>44697</v>
      </c>
      <c r="B1102" s="1">
        <f t="shared" si="68"/>
        <v>2022</v>
      </c>
      <c r="C1102" s="1" t="str">
        <f t="shared" si="69"/>
        <v>May</v>
      </c>
      <c r="D1102">
        <v>193.300003</v>
      </c>
      <c r="E1102">
        <v>195.88999899999999</v>
      </c>
      <c r="F1102">
        <v>185.699997</v>
      </c>
      <c r="G1102">
        <v>186.509995</v>
      </c>
      <c r="H1102">
        <v>186.509995</v>
      </c>
      <c r="I1102">
        <f t="shared" si="70"/>
        <v>-6.7900080000000003</v>
      </c>
      <c r="J1102">
        <v>16145000</v>
      </c>
      <c r="K1102">
        <v>-7.6576576576576502E-2</v>
      </c>
      <c r="L1102">
        <v>-51</v>
      </c>
      <c r="M1102">
        <f t="shared" si="71"/>
        <v>-3.5126786831969167E-2</v>
      </c>
      <c r="N1102">
        <v>666</v>
      </c>
    </row>
    <row r="1103" spans="1:14" x14ac:dyDescent="0.25">
      <c r="A1103" s="1">
        <v>44698</v>
      </c>
      <c r="B1103" s="1">
        <f t="shared" si="68"/>
        <v>2022</v>
      </c>
      <c r="C1103" s="1" t="str">
        <f t="shared" si="69"/>
        <v>May</v>
      </c>
      <c r="D1103">
        <v>189.16999799999999</v>
      </c>
      <c r="E1103">
        <v>191.39999399999999</v>
      </c>
      <c r="F1103">
        <v>185.16999799999999</v>
      </c>
      <c r="G1103">
        <v>190.55999800000001</v>
      </c>
      <c r="H1103">
        <v>190.55999800000001</v>
      </c>
      <c r="I1103">
        <f t="shared" si="70"/>
        <v>1.3900000000000148</v>
      </c>
      <c r="J1103">
        <v>9876700</v>
      </c>
      <c r="K1103">
        <v>-0.15853658536585299</v>
      </c>
      <c r="L1103">
        <v>-91</v>
      </c>
      <c r="M1103">
        <f t="shared" si="71"/>
        <v>7.3478882206258461E-3</v>
      </c>
      <c r="N1103">
        <v>574</v>
      </c>
    </row>
    <row r="1104" spans="1:14" x14ac:dyDescent="0.25">
      <c r="A1104" s="1">
        <v>44699</v>
      </c>
      <c r="B1104" s="1">
        <f t="shared" si="68"/>
        <v>2022</v>
      </c>
      <c r="C1104" s="1" t="str">
        <f t="shared" si="69"/>
        <v>May</v>
      </c>
      <c r="D1104">
        <v>186.720001</v>
      </c>
      <c r="E1104">
        <v>187.699997</v>
      </c>
      <c r="F1104">
        <v>176.270004</v>
      </c>
      <c r="G1104">
        <v>177.19000199999999</v>
      </c>
      <c r="H1104">
        <v>177.19000199999999</v>
      </c>
      <c r="I1104">
        <f t="shared" si="70"/>
        <v>-9.5299990000000037</v>
      </c>
      <c r="J1104">
        <v>9665600</v>
      </c>
      <c r="K1104">
        <v>-0.21247563352826501</v>
      </c>
      <c r="L1104">
        <v>-109</v>
      </c>
      <c r="M1104">
        <f t="shared" si="71"/>
        <v>-5.1038983231367935E-2</v>
      </c>
      <c r="N1104">
        <v>513</v>
      </c>
    </row>
    <row r="1105" spans="1:14" x14ac:dyDescent="0.25">
      <c r="A1105" s="1">
        <v>44700</v>
      </c>
      <c r="B1105" s="1">
        <f t="shared" si="68"/>
        <v>2022</v>
      </c>
      <c r="C1105" s="1" t="str">
        <f t="shared" si="69"/>
        <v>May</v>
      </c>
      <c r="D1105">
        <v>178.050003</v>
      </c>
      <c r="E1105">
        <v>186.300003</v>
      </c>
      <c r="F1105">
        <v>175.71000699999999</v>
      </c>
      <c r="G1105">
        <v>183.479996</v>
      </c>
      <c r="H1105">
        <v>183.479996</v>
      </c>
      <c r="I1105">
        <f t="shared" si="70"/>
        <v>5.4299929999999961</v>
      </c>
      <c r="J1105">
        <v>10448500</v>
      </c>
      <c r="K1105">
        <v>-0.148325358851674</v>
      </c>
      <c r="L1105">
        <v>-62</v>
      </c>
      <c r="M1105">
        <f t="shared" si="71"/>
        <v>3.04970115614095E-2</v>
      </c>
      <c r="N1105">
        <v>418</v>
      </c>
    </row>
    <row r="1106" spans="1:14" x14ac:dyDescent="0.25">
      <c r="A1106" s="1">
        <v>44701</v>
      </c>
      <c r="B1106" s="1">
        <f t="shared" si="68"/>
        <v>2022</v>
      </c>
      <c r="C1106" s="1" t="str">
        <f t="shared" si="69"/>
        <v>May</v>
      </c>
      <c r="D1106">
        <v>185.86999499999999</v>
      </c>
      <c r="E1106">
        <v>190.19000199999999</v>
      </c>
      <c r="F1106">
        <v>179.770004</v>
      </c>
      <c r="G1106">
        <v>186.35000600000001</v>
      </c>
      <c r="H1106">
        <v>186.35000600000001</v>
      </c>
      <c r="I1106">
        <f t="shared" si="70"/>
        <v>0.48001100000001884</v>
      </c>
      <c r="J1106">
        <v>10429400</v>
      </c>
      <c r="K1106">
        <v>-0.147420147420147</v>
      </c>
      <c r="L1106">
        <v>-60</v>
      </c>
      <c r="M1106">
        <f t="shared" si="71"/>
        <v>2.5825093501509961E-3</v>
      </c>
      <c r="N1106">
        <v>407</v>
      </c>
    </row>
    <row r="1107" spans="1:14" x14ac:dyDescent="0.25">
      <c r="A1107" s="1">
        <v>44704</v>
      </c>
      <c r="B1107" s="1">
        <f t="shared" si="68"/>
        <v>2022</v>
      </c>
      <c r="C1107" s="1" t="str">
        <f t="shared" si="69"/>
        <v>May</v>
      </c>
      <c r="D1107">
        <v>186.14999399999999</v>
      </c>
      <c r="E1107">
        <v>187.66000399999999</v>
      </c>
      <c r="F1107">
        <v>177.88999899999999</v>
      </c>
      <c r="G1107">
        <v>187.44000199999999</v>
      </c>
      <c r="H1107">
        <v>187.44000199999999</v>
      </c>
      <c r="I1107">
        <f t="shared" si="70"/>
        <v>1.2900080000000003</v>
      </c>
      <c r="J1107">
        <v>9602000</v>
      </c>
      <c r="K1107">
        <v>-0.104683195592286</v>
      </c>
      <c r="L1107">
        <v>-38</v>
      </c>
      <c r="M1107">
        <f t="shared" si="71"/>
        <v>6.929938445230357E-3</v>
      </c>
      <c r="N1107">
        <v>363</v>
      </c>
    </row>
    <row r="1108" spans="1:14" x14ac:dyDescent="0.25">
      <c r="A1108" s="1">
        <v>44705</v>
      </c>
      <c r="B1108" s="1">
        <f t="shared" si="68"/>
        <v>2022</v>
      </c>
      <c r="C1108" s="1" t="str">
        <f t="shared" si="69"/>
        <v>May</v>
      </c>
      <c r="D1108">
        <v>182</v>
      </c>
      <c r="E1108">
        <v>184</v>
      </c>
      <c r="F1108">
        <v>177.16999799999999</v>
      </c>
      <c r="G1108">
        <v>180.33999600000001</v>
      </c>
      <c r="H1108">
        <v>180.33999600000001</v>
      </c>
      <c r="I1108">
        <f t="shared" si="70"/>
        <v>-1.6600039999999865</v>
      </c>
      <c r="J1108">
        <v>7706400</v>
      </c>
      <c r="K1108">
        <v>-0.127710843373493</v>
      </c>
      <c r="L1108">
        <v>-53</v>
      </c>
      <c r="M1108">
        <f t="shared" si="71"/>
        <v>-9.1209010989010252E-3</v>
      </c>
      <c r="N1108">
        <v>415</v>
      </c>
    </row>
    <row r="1109" spans="1:14" x14ac:dyDescent="0.25">
      <c r="A1109" s="1">
        <v>44706</v>
      </c>
      <c r="B1109" s="1">
        <f t="shared" si="68"/>
        <v>2022</v>
      </c>
      <c r="C1109" s="1" t="str">
        <f t="shared" si="69"/>
        <v>May</v>
      </c>
      <c r="D1109">
        <v>180.279999</v>
      </c>
      <c r="E1109">
        <v>188.86999499999999</v>
      </c>
      <c r="F1109">
        <v>180.16999799999999</v>
      </c>
      <c r="G1109">
        <v>187.83000200000001</v>
      </c>
      <c r="H1109">
        <v>187.83000200000001</v>
      </c>
      <c r="I1109">
        <f t="shared" si="70"/>
        <v>7.5500030000000038</v>
      </c>
      <c r="J1109">
        <v>8522100</v>
      </c>
      <c r="K1109">
        <v>-6.4794816414686804E-2</v>
      </c>
      <c r="L1109">
        <v>-30</v>
      </c>
      <c r="M1109">
        <f t="shared" si="71"/>
        <v>4.1879315741509424E-2</v>
      </c>
      <c r="N1109">
        <v>463</v>
      </c>
    </row>
    <row r="1110" spans="1:14" x14ac:dyDescent="0.25">
      <c r="A1110" s="1">
        <v>44707</v>
      </c>
      <c r="B1110" s="1">
        <f t="shared" si="68"/>
        <v>2022</v>
      </c>
      <c r="C1110" s="1" t="str">
        <f t="shared" si="69"/>
        <v>May</v>
      </c>
      <c r="D1110">
        <v>186.490005</v>
      </c>
      <c r="E1110">
        <v>192.33999600000001</v>
      </c>
      <c r="F1110">
        <v>183.08999600000001</v>
      </c>
      <c r="G1110">
        <v>191.39999399999999</v>
      </c>
      <c r="H1110">
        <v>191.39999399999999</v>
      </c>
      <c r="I1110">
        <f t="shared" si="70"/>
        <v>4.9099889999999959</v>
      </c>
      <c r="J1110">
        <v>8049900</v>
      </c>
      <c r="K1110">
        <v>-8.1339712918660198E-2</v>
      </c>
      <c r="L1110">
        <v>-34</v>
      </c>
      <c r="M1110">
        <f t="shared" si="71"/>
        <v>2.6328429772952154E-2</v>
      </c>
      <c r="N1110">
        <v>418</v>
      </c>
    </row>
    <row r="1111" spans="1:14" x14ac:dyDescent="0.25">
      <c r="A1111" s="1">
        <v>44708</v>
      </c>
      <c r="B1111" s="1">
        <f t="shared" si="68"/>
        <v>2022</v>
      </c>
      <c r="C1111" s="1" t="str">
        <f t="shared" si="69"/>
        <v>May</v>
      </c>
      <c r="D1111">
        <v>193.19000199999999</v>
      </c>
      <c r="E1111">
        <v>195.25</v>
      </c>
      <c r="F1111">
        <v>190.36999499999999</v>
      </c>
      <c r="G1111">
        <v>195.19000199999999</v>
      </c>
      <c r="H1111">
        <v>195.19000199999999</v>
      </c>
      <c r="I1111">
        <f t="shared" si="70"/>
        <v>2</v>
      </c>
      <c r="J1111">
        <v>8586000</v>
      </c>
      <c r="K1111">
        <v>-7.0754716981132004E-2</v>
      </c>
      <c r="L1111">
        <v>-30</v>
      </c>
      <c r="M1111">
        <f t="shared" si="71"/>
        <v>1.0352502610357653E-2</v>
      </c>
      <c r="N1111">
        <v>424</v>
      </c>
    </row>
    <row r="1112" spans="1:14" x14ac:dyDescent="0.25">
      <c r="A1112" s="1">
        <v>44712</v>
      </c>
      <c r="B1112" s="1">
        <f t="shared" si="68"/>
        <v>2022</v>
      </c>
      <c r="C1112" s="1" t="str">
        <f t="shared" si="69"/>
        <v>May</v>
      </c>
      <c r="D1112">
        <v>196.179993</v>
      </c>
      <c r="E1112">
        <v>199.949997</v>
      </c>
      <c r="F1112">
        <v>190.800003</v>
      </c>
      <c r="G1112">
        <v>197.44000199999999</v>
      </c>
      <c r="H1112">
        <v>197.44000199999999</v>
      </c>
      <c r="I1112">
        <f t="shared" si="70"/>
        <v>1.2600089999999966</v>
      </c>
      <c r="J1112">
        <v>11398500</v>
      </c>
      <c r="K1112">
        <v>-3.9014373716632397E-2</v>
      </c>
      <c r="L1112">
        <v>-19</v>
      </c>
      <c r="M1112">
        <f t="shared" si="71"/>
        <v>6.4227191607657804E-3</v>
      </c>
      <c r="N1112">
        <v>487</v>
      </c>
    </row>
    <row r="1113" spans="1:14" x14ac:dyDescent="0.25">
      <c r="A1113" s="1">
        <v>44713</v>
      </c>
      <c r="B1113" s="1">
        <f t="shared" si="68"/>
        <v>2022</v>
      </c>
      <c r="C1113" s="1" t="str">
        <f t="shared" si="69"/>
        <v>Jun</v>
      </c>
      <c r="D1113">
        <v>198.699997</v>
      </c>
      <c r="E1113">
        <v>202.740005</v>
      </c>
      <c r="F1113">
        <v>191.66000399999999</v>
      </c>
      <c r="G1113">
        <v>192.91000399999999</v>
      </c>
      <c r="H1113">
        <v>192.91000399999999</v>
      </c>
      <c r="I1113">
        <f t="shared" si="70"/>
        <v>-5.7899930000000097</v>
      </c>
      <c r="J1113">
        <v>8416200</v>
      </c>
      <c r="K1113">
        <v>-0.10121457489878501</v>
      </c>
      <c r="L1113">
        <v>-50</v>
      </c>
      <c r="M1113">
        <f t="shared" si="71"/>
        <v>-2.9139371350871284E-2</v>
      </c>
      <c r="N1113">
        <v>494</v>
      </c>
    </row>
    <row r="1114" spans="1:14" x14ac:dyDescent="0.25">
      <c r="A1114" s="1">
        <v>44714</v>
      </c>
      <c r="B1114" s="1">
        <f t="shared" si="68"/>
        <v>2022</v>
      </c>
      <c r="C1114" s="1" t="str">
        <f t="shared" si="69"/>
        <v>Jun</v>
      </c>
      <c r="D1114">
        <v>192.020004</v>
      </c>
      <c r="E1114">
        <v>205.470001</v>
      </c>
      <c r="F1114">
        <v>191.720001</v>
      </c>
      <c r="G1114">
        <v>205.08999600000001</v>
      </c>
      <c r="H1114">
        <v>205.08999600000001</v>
      </c>
      <c r="I1114">
        <f t="shared" si="70"/>
        <v>13.069992000000013</v>
      </c>
      <c r="J1114">
        <v>9623100</v>
      </c>
      <c r="K1114">
        <v>-3.0357142857142801E-2</v>
      </c>
      <c r="L1114">
        <v>-17</v>
      </c>
      <c r="M1114">
        <f t="shared" si="71"/>
        <v>6.8065783396192472E-2</v>
      </c>
      <c r="N1114">
        <v>560</v>
      </c>
    </row>
    <row r="1115" spans="1:14" x14ac:dyDescent="0.25">
      <c r="A1115" s="1">
        <v>44715</v>
      </c>
      <c r="B1115" s="1">
        <f t="shared" si="68"/>
        <v>2022</v>
      </c>
      <c r="C1115" s="1" t="str">
        <f t="shared" si="69"/>
        <v>Jun</v>
      </c>
      <c r="D1115">
        <v>200.13999899999999</v>
      </c>
      <c r="E1115">
        <v>202.949997</v>
      </c>
      <c r="F1115">
        <v>198.050003</v>
      </c>
      <c r="G1115">
        <v>198.979996</v>
      </c>
      <c r="H1115">
        <v>198.979996</v>
      </c>
      <c r="I1115">
        <f t="shared" si="70"/>
        <v>-1.160002999999989</v>
      </c>
      <c r="J1115">
        <v>7191800</v>
      </c>
      <c r="K1115">
        <v>-8.1012658227848103E-2</v>
      </c>
      <c r="L1115">
        <v>-32</v>
      </c>
      <c r="M1115">
        <f t="shared" si="71"/>
        <v>-5.7959578584787994E-3</v>
      </c>
      <c r="N1115">
        <v>395</v>
      </c>
    </row>
    <row r="1116" spans="1:14" x14ac:dyDescent="0.25">
      <c r="A1116" s="1">
        <v>44718</v>
      </c>
      <c r="B1116" s="1">
        <f t="shared" si="68"/>
        <v>2022</v>
      </c>
      <c r="C1116" s="1" t="str">
        <f t="shared" si="69"/>
        <v>Jun</v>
      </c>
      <c r="D1116">
        <v>202.08999600000001</v>
      </c>
      <c r="E1116">
        <v>203.86999499999999</v>
      </c>
      <c r="F1116">
        <v>195.38000500000001</v>
      </c>
      <c r="G1116">
        <v>197.13999899999999</v>
      </c>
      <c r="H1116">
        <v>197.13999899999999</v>
      </c>
      <c r="I1116">
        <f t="shared" si="70"/>
        <v>-4.9499970000000246</v>
      </c>
      <c r="J1116">
        <v>5372000</v>
      </c>
      <c r="K1116">
        <v>-0.145522388059701</v>
      </c>
      <c r="L1116">
        <v>-39</v>
      </c>
      <c r="M1116">
        <f t="shared" si="71"/>
        <v>-2.449402295005253E-2</v>
      </c>
      <c r="N1116">
        <v>268</v>
      </c>
    </row>
    <row r="1117" spans="1:14" x14ac:dyDescent="0.25">
      <c r="A1117" s="1">
        <v>44719</v>
      </c>
      <c r="B1117" s="1">
        <f t="shared" si="68"/>
        <v>2022</v>
      </c>
      <c r="C1117" s="1" t="str">
        <f t="shared" si="69"/>
        <v>Jun</v>
      </c>
      <c r="D1117">
        <v>194.86999499999999</v>
      </c>
      <c r="E1117">
        <v>199.60000600000001</v>
      </c>
      <c r="F1117">
        <v>193</v>
      </c>
      <c r="G1117">
        <v>198.61000100000001</v>
      </c>
      <c r="H1117">
        <v>198.61000100000001</v>
      </c>
      <c r="I1117">
        <f t="shared" si="70"/>
        <v>3.7400060000000224</v>
      </c>
      <c r="J1117">
        <v>4839500</v>
      </c>
      <c r="K1117">
        <v>-0.18</v>
      </c>
      <c r="L1117">
        <v>-63</v>
      </c>
      <c r="M1117">
        <f t="shared" si="71"/>
        <v>1.919231331637291E-2</v>
      </c>
      <c r="N1117">
        <v>350</v>
      </c>
    </row>
    <row r="1118" spans="1:14" x14ac:dyDescent="0.25">
      <c r="A1118" s="1">
        <v>44720</v>
      </c>
      <c r="B1118" s="1">
        <f t="shared" si="68"/>
        <v>2022</v>
      </c>
      <c r="C1118" s="1" t="str">
        <f t="shared" si="69"/>
        <v>Jun</v>
      </c>
      <c r="D1118">
        <v>197.949997</v>
      </c>
      <c r="E1118">
        <v>207.38000500000001</v>
      </c>
      <c r="F1118">
        <v>197.63999899999999</v>
      </c>
      <c r="G1118">
        <v>202.83000200000001</v>
      </c>
      <c r="H1118">
        <v>202.83000200000001</v>
      </c>
      <c r="I1118">
        <f t="shared" si="70"/>
        <v>4.8800050000000113</v>
      </c>
      <c r="J1118">
        <v>7244100</v>
      </c>
      <c r="K1118">
        <v>-0.13033175355450199</v>
      </c>
      <c r="L1118">
        <v>-110</v>
      </c>
      <c r="M1118">
        <f t="shared" si="71"/>
        <v>2.4652715705774986E-2</v>
      </c>
      <c r="N1118">
        <v>844</v>
      </c>
    </row>
    <row r="1119" spans="1:14" x14ac:dyDescent="0.25">
      <c r="A1119" s="1">
        <v>44721</v>
      </c>
      <c r="B1119" s="1">
        <f t="shared" si="68"/>
        <v>2022</v>
      </c>
      <c r="C1119" s="1" t="str">
        <f t="shared" si="69"/>
        <v>Jun</v>
      </c>
      <c r="D1119">
        <v>200.64999399999999</v>
      </c>
      <c r="E1119">
        <v>201.69000199999999</v>
      </c>
      <c r="F1119">
        <v>192.53999300000001</v>
      </c>
      <c r="G1119">
        <v>192.770004</v>
      </c>
      <c r="H1119">
        <v>192.770004</v>
      </c>
      <c r="I1119">
        <f t="shared" si="70"/>
        <v>-7.8799899999999923</v>
      </c>
      <c r="J1119">
        <v>6949000</v>
      </c>
      <c r="K1119">
        <v>-0.16335540838852</v>
      </c>
      <c r="L1119">
        <v>-74</v>
      </c>
      <c r="M1119">
        <f t="shared" si="71"/>
        <v>-3.9272316150679741E-2</v>
      </c>
      <c r="N1119">
        <v>453</v>
      </c>
    </row>
    <row r="1120" spans="1:14" x14ac:dyDescent="0.25">
      <c r="A1120" s="1">
        <v>44722</v>
      </c>
      <c r="B1120" s="1">
        <f t="shared" si="68"/>
        <v>2022</v>
      </c>
      <c r="C1120" s="1" t="str">
        <f t="shared" si="69"/>
        <v>Jun</v>
      </c>
      <c r="D1120">
        <v>182.63999899999999</v>
      </c>
      <c r="E1120">
        <v>185.86000100000001</v>
      </c>
      <c r="F1120">
        <v>180.85000600000001</v>
      </c>
      <c r="G1120">
        <v>182.94000199999999</v>
      </c>
      <c r="H1120">
        <v>182.94000199999999</v>
      </c>
      <c r="I1120">
        <f t="shared" si="70"/>
        <v>0.30000300000000379</v>
      </c>
      <c r="J1120">
        <v>13065600</v>
      </c>
      <c r="K1120">
        <v>-0.15625</v>
      </c>
      <c r="L1120">
        <v>-90</v>
      </c>
      <c r="M1120">
        <f t="shared" si="71"/>
        <v>1.6425919932249004E-3</v>
      </c>
      <c r="N1120">
        <v>576</v>
      </c>
    </row>
    <row r="1121" spans="1:14" x14ac:dyDescent="0.25">
      <c r="A1121" s="1">
        <v>44725</v>
      </c>
      <c r="B1121" s="1">
        <f t="shared" si="68"/>
        <v>2022</v>
      </c>
      <c r="C1121" s="1" t="str">
        <f t="shared" si="69"/>
        <v>Jun</v>
      </c>
      <c r="D1121">
        <v>177.070007</v>
      </c>
      <c r="E1121">
        <v>179.08999600000001</v>
      </c>
      <c r="F1121">
        <v>168.96000699999999</v>
      </c>
      <c r="G1121">
        <v>169.69000199999999</v>
      </c>
      <c r="H1121">
        <v>169.69000199999999</v>
      </c>
      <c r="I1121">
        <f t="shared" si="70"/>
        <v>-7.3800050000000113</v>
      </c>
      <c r="J1121">
        <v>10222400</v>
      </c>
      <c r="K1121">
        <v>-0.17128463476070499</v>
      </c>
      <c r="L1121">
        <v>-68</v>
      </c>
      <c r="M1121">
        <f t="shared" si="71"/>
        <v>-4.1678458848200144E-2</v>
      </c>
      <c r="N1121">
        <v>397</v>
      </c>
    </row>
    <row r="1122" spans="1:14" x14ac:dyDescent="0.25">
      <c r="A1122" s="1">
        <v>44726</v>
      </c>
      <c r="B1122" s="1">
        <f t="shared" si="68"/>
        <v>2022</v>
      </c>
      <c r="C1122" s="1" t="str">
        <f t="shared" si="69"/>
        <v>Jun</v>
      </c>
      <c r="D1122">
        <v>169.75</v>
      </c>
      <c r="E1122">
        <v>172.05999800000001</v>
      </c>
      <c r="F1122">
        <v>164.279999</v>
      </c>
      <c r="G1122">
        <v>167.53999300000001</v>
      </c>
      <c r="H1122">
        <v>167.53999300000001</v>
      </c>
      <c r="I1122">
        <f t="shared" si="70"/>
        <v>-2.2100069999999903</v>
      </c>
      <c r="J1122">
        <v>11555300</v>
      </c>
      <c r="K1122">
        <v>-0.16475095785440599</v>
      </c>
      <c r="L1122">
        <v>-86</v>
      </c>
      <c r="M1122">
        <f t="shared" si="71"/>
        <v>-1.3019187039764303E-2</v>
      </c>
      <c r="N1122">
        <v>522</v>
      </c>
    </row>
    <row r="1123" spans="1:14" x14ac:dyDescent="0.25">
      <c r="A1123" s="1">
        <v>44727</v>
      </c>
      <c r="B1123" s="1">
        <f t="shared" si="68"/>
        <v>2022</v>
      </c>
      <c r="C1123" s="1" t="str">
        <f t="shared" si="69"/>
        <v>Jun</v>
      </c>
      <c r="D1123">
        <v>169.259995</v>
      </c>
      <c r="E1123">
        <v>183.85000600000001</v>
      </c>
      <c r="F1123">
        <v>168.529999</v>
      </c>
      <c r="G1123">
        <v>180.11000100000001</v>
      </c>
      <c r="H1123">
        <v>180.11000100000001</v>
      </c>
      <c r="I1123">
        <f t="shared" si="70"/>
        <v>10.850006000000008</v>
      </c>
      <c r="J1123">
        <v>12396000</v>
      </c>
      <c r="K1123">
        <v>-0.14232902033271699</v>
      </c>
      <c r="L1123">
        <v>-77</v>
      </c>
      <c r="M1123">
        <f t="shared" si="71"/>
        <v>6.4102601444600116E-2</v>
      </c>
      <c r="N1123">
        <v>541</v>
      </c>
    </row>
    <row r="1124" spans="1:14" x14ac:dyDescent="0.25">
      <c r="A1124" s="1">
        <v>44728</v>
      </c>
      <c r="B1124" s="1">
        <f t="shared" si="68"/>
        <v>2022</v>
      </c>
      <c r="C1124" s="1" t="str">
        <f t="shared" si="69"/>
        <v>Jun</v>
      </c>
      <c r="D1124">
        <v>174</v>
      </c>
      <c r="E1124">
        <v>176.270004</v>
      </c>
      <c r="F1124">
        <v>171.55999800000001</v>
      </c>
      <c r="G1124">
        <v>173.35000600000001</v>
      </c>
      <c r="H1124">
        <v>173.35000600000001</v>
      </c>
      <c r="I1124">
        <f t="shared" si="70"/>
        <v>-0.64999399999999241</v>
      </c>
      <c r="J1124">
        <v>8201300</v>
      </c>
      <c r="K1124">
        <v>-0.12532637075718001</v>
      </c>
      <c r="L1124">
        <v>-48</v>
      </c>
      <c r="M1124">
        <f t="shared" si="71"/>
        <v>-3.7355977011493818E-3</v>
      </c>
      <c r="N1124">
        <v>383</v>
      </c>
    </row>
    <row r="1125" spans="1:14" x14ac:dyDescent="0.25">
      <c r="A1125" s="1">
        <v>44729</v>
      </c>
      <c r="B1125" s="1">
        <f t="shared" si="68"/>
        <v>2022</v>
      </c>
      <c r="C1125" s="1" t="str">
        <f t="shared" si="69"/>
        <v>Jun</v>
      </c>
      <c r="D1125">
        <v>173.63000500000001</v>
      </c>
      <c r="E1125">
        <v>179.64999399999999</v>
      </c>
      <c r="F1125">
        <v>173.33999600000001</v>
      </c>
      <c r="G1125">
        <v>175.509995</v>
      </c>
      <c r="H1125">
        <v>175.509995</v>
      </c>
      <c r="I1125">
        <f t="shared" si="70"/>
        <v>1.8799899999999923</v>
      </c>
      <c r="J1125">
        <v>12133400</v>
      </c>
      <c r="K1125">
        <v>-1.3793103448275799E-2</v>
      </c>
      <c r="L1125">
        <v>-4</v>
      </c>
      <c r="M1125">
        <f t="shared" si="71"/>
        <v>1.0827564049197557E-2</v>
      </c>
      <c r="N1125">
        <v>290</v>
      </c>
    </row>
    <row r="1126" spans="1:14" x14ac:dyDescent="0.25">
      <c r="A1126" s="1">
        <v>44733</v>
      </c>
      <c r="B1126" s="1">
        <f t="shared" si="68"/>
        <v>2022</v>
      </c>
      <c r="C1126" s="1" t="str">
        <f t="shared" si="69"/>
        <v>Jun</v>
      </c>
      <c r="D1126">
        <v>177.60000600000001</v>
      </c>
      <c r="E1126">
        <v>178.61999499999999</v>
      </c>
      <c r="F1126">
        <v>169.800003</v>
      </c>
      <c r="G1126">
        <v>170.91000399999999</v>
      </c>
      <c r="H1126">
        <v>170.91000399999999</v>
      </c>
      <c r="I1126">
        <f t="shared" si="70"/>
        <v>-6.6900020000000211</v>
      </c>
      <c r="J1126">
        <v>12177600</v>
      </c>
      <c r="K1126">
        <v>-0.17484662576687099</v>
      </c>
      <c r="L1126">
        <v>-114</v>
      </c>
      <c r="M1126">
        <f t="shared" si="71"/>
        <v>-3.7668928907581348E-2</v>
      </c>
      <c r="N1126">
        <v>652</v>
      </c>
    </row>
    <row r="1127" spans="1:14" x14ac:dyDescent="0.25">
      <c r="A1127" s="1">
        <v>44734</v>
      </c>
      <c r="B1127" s="1">
        <f t="shared" si="68"/>
        <v>2022</v>
      </c>
      <c r="C1127" s="1" t="str">
        <f t="shared" si="69"/>
        <v>Jun</v>
      </c>
      <c r="D1127">
        <v>170.75</v>
      </c>
      <c r="E1127">
        <v>182.820007</v>
      </c>
      <c r="F1127">
        <v>170.199997</v>
      </c>
      <c r="G1127">
        <v>178.88999899999999</v>
      </c>
      <c r="H1127">
        <v>178.88999899999999</v>
      </c>
      <c r="I1127">
        <f t="shared" si="70"/>
        <v>8.1399989999999889</v>
      </c>
      <c r="J1127">
        <v>11992400</v>
      </c>
      <c r="K1127">
        <v>-3.38983050847457E-2</v>
      </c>
      <c r="L1127">
        <v>-22</v>
      </c>
      <c r="M1127">
        <f t="shared" si="71"/>
        <v>4.76720292825768E-2</v>
      </c>
      <c r="N1127">
        <v>649</v>
      </c>
    </row>
    <row r="1128" spans="1:14" x14ac:dyDescent="0.25">
      <c r="A1128" s="1">
        <v>44735</v>
      </c>
      <c r="B1128" s="1">
        <f t="shared" si="68"/>
        <v>2022</v>
      </c>
      <c r="C1128" s="1" t="str">
        <f t="shared" si="69"/>
        <v>Jun</v>
      </c>
      <c r="D1128">
        <v>180.5</v>
      </c>
      <c r="E1128">
        <v>182.759995</v>
      </c>
      <c r="F1128">
        <v>175.86999499999999</v>
      </c>
      <c r="G1128">
        <v>181.71000699999999</v>
      </c>
      <c r="H1128">
        <v>181.71000699999999</v>
      </c>
      <c r="I1128">
        <f t="shared" si="70"/>
        <v>1.2100069999999903</v>
      </c>
      <c r="J1128">
        <v>9538200</v>
      </c>
      <c r="K1128">
        <v>-7.8402366863905296E-2</v>
      </c>
      <c r="L1128">
        <v>-53</v>
      </c>
      <c r="M1128">
        <f t="shared" si="71"/>
        <v>6.7036398891966217E-3</v>
      </c>
      <c r="N1128">
        <v>676</v>
      </c>
    </row>
    <row r="1129" spans="1:14" x14ac:dyDescent="0.25">
      <c r="A1129" s="1">
        <v>44736</v>
      </c>
      <c r="B1129" s="1">
        <f t="shared" si="68"/>
        <v>2022</v>
      </c>
      <c r="C1129" s="1" t="str">
        <f t="shared" si="69"/>
        <v>Jun</v>
      </c>
      <c r="D1129">
        <v>183.5</v>
      </c>
      <c r="E1129">
        <v>191.19000199999999</v>
      </c>
      <c r="F1129">
        <v>181.83999600000001</v>
      </c>
      <c r="G1129">
        <v>190.85000600000001</v>
      </c>
      <c r="H1129">
        <v>190.85000600000001</v>
      </c>
      <c r="I1129">
        <f t="shared" si="70"/>
        <v>7.3500060000000076</v>
      </c>
      <c r="J1129">
        <v>12424000</v>
      </c>
      <c r="K1129">
        <v>-6.5743944636678195E-2</v>
      </c>
      <c r="L1129">
        <v>-38</v>
      </c>
      <c r="M1129">
        <f t="shared" si="71"/>
        <v>4.0054528610354266E-2</v>
      </c>
      <c r="N1129">
        <v>578</v>
      </c>
    </row>
    <row r="1130" spans="1:14" x14ac:dyDescent="0.25">
      <c r="A1130" s="1">
        <v>44739</v>
      </c>
      <c r="B1130" s="1">
        <f t="shared" si="68"/>
        <v>2022</v>
      </c>
      <c r="C1130" s="1" t="str">
        <f t="shared" si="69"/>
        <v>Jun</v>
      </c>
      <c r="D1130">
        <v>191.770004</v>
      </c>
      <c r="E1130">
        <v>191.779999</v>
      </c>
      <c r="F1130">
        <v>182.38999899999999</v>
      </c>
      <c r="G1130">
        <v>189.13999899999999</v>
      </c>
      <c r="H1130">
        <v>189.13999899999999</v>
      </c>
      <c r="I1130">
        <f t="shared" si="70"/>
        <v>-2.6300050000000113</v>
      </c>
      <c r="J1130">
        <v>8363900</v>
      </c>
      <c r="K1130">
        <v>-3.5608308605341199E-2</v>
      </c>
      <c r="L1130">
        <v>-12</v>
      </c>
      <c r="M1130">
        <f t="shared" si="71"/>
        <v>-1.3714371096326469E-2</v>
      </c>
      <c r="N1130">
        <v>337</v>
      </c>
    </row>
    <row r="1131" spans="1:14" x14ac:dyDescent="0.25">
      <c r="A1131" s="1">
        <v>44740</v>
      </c>
      <c r="B1131" s="1">
        <f t="shared" si="68"/>
        <v>2022</v>
      </c>
      <c r="C1131" s="1" t="str">
        <f t="shared" si="69"/>
        <v>Jun</v>
      </c>
      <c r="D1131">
        <v>189.199997</v>
      </c>
      <c r="E1131">
        <v>192.199997</v>
      </c>
      <c r="F1131">
        <v>179.36999499999999</v>
      </c>
      <c r="G1131">
        <v>179.60000600000001</v>
      </c>
      <c r="H1131">
        <v>179.60000600000001</v>
      </c>
      <c r="I1131">
        <f t="shared" si="70"/>
        <v>-9.5999909999999886</v>
      </c>
      <c r="J1131">
        <v>7185400</v>
      </c>
      <c r="K1131">
        <v>-8.7999999999999995E-2</v>
      </c>
      <c r="L1131">
        <v>-33</v>
      </c>
      <c r="M1131">
        <f t="shared" si="71"/>
        <v>-5.0739910952535529E-2</v>
      </c>
      <c r="N1131">
        <v>375</v>
      </c>
    </row>
    <row r="1132" spans="1:14" x14ac:dyDescent="0.25">
      <c r="A1132" s="1">
        <v>44741</v>
      </c>
      <c r="B1132" s="1">
        <f t="shared" si="68"/>
        <v>2022</v>
      </c>
      <c r="C1132" s="1" t="str">
        <f t="shared" si="69"/>
        <v>Jun</v>
      </c>
      <c r="D1132">
        <v>179.550003</v>
      </c>
      <c r="E1132">
        <v>180.66999799999999</v>
      </c>
      <c r="F1132">
        <v>175.10000600000001</v>
      </c>
      <c r="G1132">
        <v>178.36000100000001</v>
      </c>
      <c r="H1132">
        <v>178.36000100000001</v>
      </c>
      <c r="I1132">
        <f t="shared" si="70"/>
        <v>-1.1900019999999927</v>
      </c>
      <c r="J1132">
        <v>5766800</v>
      </c>
      <c r="K1132">
        <v>-8.2872928176795493E-2</v>
      </c>
      <c r="L1132">
        <v>-30</v>
      </c>
      <c r="M1132">
        <f t="shared" si="71"/>
        <v>-6.6276913401109366E-3</v>
      </c>
      <c r="N1132">
        <v>362</v>
      </c>
    </row>
    <row r="1133" spans="1:14" x14ac:dyDescent="0.25">
      <c r="A1133" s="1">
        <v>44742</v>
      </c>
      <c r="B1133" s="1">
        <f t="shared" si="68"/>
        <v>2022</v>
      </c>
      <c r="C1133" s="1" t="str">
        <f t="shared" si="69"/>
        <v>Jun</v>
      </c>
      <c r="D1133">
        <v>177.070007</v>
      </c>
      <c r="E1133">
        <v>179.449997</v>
      </c>
      <c r="F1133">
        <v>170.300003</v>
      </c>
      <c r="G1133">
        <v>174.86999499999999</v>
      </c>
      <c r="H1133">
        <v>174.86999499999999</v>
      </c>
      <c r="I1133">
        <f t="shared" si="70"/>
        <v>-2.2000120000000152</v>
      </c>
      <c r="J1133">
        <v>7894700</v>
      </c>
      <c r="K1133">
        <v>-6.6666666666666596E-2</v>
      </c>
      <c r="L1133">
        <v>-28</v>
      </c>
      <c r="M1133">
        <f t="shared" si="71"/>
        <v>-1.242453217952386E-2</v>
      </c>
      <c r="N1133">
        <v>420</v>
      </c>
    </row>
    <row r="1134" spans="1:14" x14ac:dyDescent="0.25">
      <c r="A1134" s="1">
        <v>44743</v>
      </c>
      <c r="B1134" s="1">
        <f t="shared" si="68"/>
        <v>2022</v>
      </c>
      <c r="C1134" s="1" t="str">
        <f t="shared" si="69"/>
        <v>Jul</v>
      </c>
      <c r="D1134">
        <v>176.490005</v>
      </c>
      <c r="E1134">
        <v>180.10000600000001</v>
      </c>
      <c r="F1134">
        <v>174.270004</v>
      </c>
      <c r="G1134">
        <v>179.949997</v>
      </c>
      <c r="H1134">
        <v>179.949997</v>
      </c>
      <c r="I1134">
        <f t="shared" si="70"/>
        <v>3.4599919999999997</v>
      </c>
      <c r="J1134">
        <v>5194700</v>
      </c>
      <c r="K1134">
        <v>-6.2314540059347098E-2</v>
      </c>
      <c r="L1134">
        <v>-21</v>
      </c>
      <c r="M1134">
        <f t="shared" si="71"/>
        <v>1.9604464286801963E-2</v>
      </c>
      <c r="N1134">
        <v>337</v>
      </c>
    </row>
    <row r="1135" spans="1:14" x14ac:dyDescent="0.25">
      <c r="A1135" s="1">
        <v>44747</v>
      </c>
      <c r="B1135" s="1">
        <f t="shared" si="68"/>
        <v>2022</v>
      </c>
      <c r="C1135" s="1" t="str">
        <f t="shared" si="69"/>
        <v>Jul</v>
      </c>
      <c r="D1135">
        <v>176.279999</v>
      </c>
      <c r="E1135">
        <v>185.91999799999999</v>
      </c>
      <c r="F1135">
        <v>172.679993</v>
      </c>
      <c r="G1135">
        <v>185.88000500000001</v>
      </c>
      <c r="H1135">
        <v>185.88000500000001</v>
      </c>
      <c r="I1135">
        <f t="shared" si="70"/>
        <v>9.6000060000000076</v>
      </c>
      <c r="J1135">
        <v>7334300</v>
      </c>
      <c r="K1135">
        <v>-5.8823529411764698E-2</v>
      </c>
      <c r="L1135">
        <v>-25</v>
      </c>
      <c r="M1135">
        <f t="shared" si="71"/>
        <v>5.4458849866455966E-2</v>
      </c>
      <c r="N1135">
        <v>425</v>
      </c>
    </row>
    <row r="1136" spans="1:14" x14ac:dyDescent="0.25">
      <c r="A1136" s="1">
        <v>44748</v>
      </c>
      <c r="B1136" s="1">
        <f t="shared" si="68"/>
        <v>2022</v>
      </c>
      <c r="C1136" s="1" t="str">
        <f t="shared" si="69"/>
        <v>Jul</v>
      </c>
      <c r="D1136">
        <v>185.199997</v>
      </c>
      <c r="E1136">
        <v>186.220001</v>
      </c>
      <c r="F1136">
        <v>180.820007</v>
      </c>
      <c r="G1136">
        <v>184.05999800000001</v>
      </c>
      <c r="H1136">
        <v>184.05999800000001</v>
      </c>
      <c r="I1136">
        <f t="shared" si="70"/>
        <v>-1.1399989999999889</v>
      </c>
      <c r="J1136">
        <v>5753400</v>
      </c>
      <c r="K1136">
        <v>-1.4869888475836399E-2</v>
      </c>
      <c r="L1136">
        <v>-8</v>
      </c>
      <c r="M1136">
        <f t="shared" si="71"/>
        <v>-6.1555022595383138E-3</v>
      </c>
      <c r="N1136">
        <v>538</v>
      </c>
    </row>
    <row r="1137" spans="1:14" x14ac:dyDescent="0.25">
      <c r="A1137" s="1">
        <v>44749</v>
      </c>
      <c r="B1137" s="1">
        <f t="shared" si="68"/>
        <v>2022</v>
      </c>
      <c r="C1137" s="1" t="str">
        <f t="shared" si="69"/>
        <v>Jul</v>
      </c>
      <c r="D1137">
        <v>184.270004</v>
      </c>
      <c r="E1137">
        <v>190.21000699999999</v>
      </c>
      <c r="F1137">
        <v>183.5</v>
      </c>
      <c r="G1137">
        <v>189.270004</v>
      </c>
      <c r="H1137">
        <v>189.270004</v>
      </c>
      <c r="I1137">
        <f t="shared" si="70"/>
        <v>5</v>
      </c>
      <c r="J1137">
        <v>6334500</v>
      </c>
      <c r="K1137">
        <v>-5.5427251732101598E-2</v>
      </c>
      <c r="L1137">
        <v>-24</v>
      </c>
      <c r="M1137">
        <f t="shared" si="71"/>
        <v>2.7134096116913309E-2</v>
      </c>
      <c r="N1137">
        <v>433</v>
      </c>
    </row>
    <row r="1138" spans="1:14" x14ac:dyDescent="0.25">
      <c r="A1138" s="1">
        <v>44750</v>
      </c>
      <c r="B1138" s="1">
        <f t="shared" si="68"/>
        <v>2022</v>
      </c>
      <c r="C1138" s="1" t="str">
        <f t="shared" si="69"/>
        <v>Jul</v>
      </c>
      <c r="D1138">
        <v>186.020004</v>
      </c>
      <c r="E1138">
        <v>189.91000399999999</v>
      </c>
      <c r="F1138">
        <v>182.75</v>
      </c>
      <c r="G1138">
        <v>186.979996</v>
      </c>
      <c r="H1138">
        <v>186.979996</v>
      </c>
      <c r="I1138">
        <f t="shared" si="70"/>
        <v>0.95999199999999973</v>
      </c>
      <c r="J1138">
        <v>5831300</v>
      </c>
      <c r="K1138">
        <v>-4.3010752688171998E-2</v>
      </c>
      <c r="L1138">
        <v>-12</v>
      </c>
      <c r="M1138">
        <f t="shared" si="71"/>
        <v>5.1606922876961114E-3</v>
      </c>
      <c r="N1138">
        <v>279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Stock_Price</vt:lpstr>
      <vt:lpstr>Monthly_Stock</vt:lpstr>
      <vt:lpstr>Monthly_Trading</vt:lpstr>
      <vt:lpstr>Dashboard</vt:lpstr>
      <vt:lpstr>Kpi</vt:lpstr>
      <vt:lpstr>Final_nflx_data_2018-2022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dc:creator>
  <cp:lastModifiedBy>Sourav Patra</cp:lastModifiedBy>
  <dcterms:created xsi:type="dcterms:W3CDTF">2026-04-29T06:03:28Z</dcterms:created>
  <dcterms:modified xsi:type="dcterms:W3CDTF">2026-05-09T10:49:54Z</dcterms:modified>
</cp:coreProperties>
</file>